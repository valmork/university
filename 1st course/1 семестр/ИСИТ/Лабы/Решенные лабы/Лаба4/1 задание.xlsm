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2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pivotTables/_rels/pivotTable2.xml.rels" ContentType="application/vnd.openxmlformats-package.relationships+xml"/>
  <Override PartName="/xl/pivotTables/_rels/pivotTable3.xml.rels" ContentType="application/vnd.openxmlformats-package.relationships+xml"/>
  <Override PartName="/xl/pivotTables/_rels/pivotTable1.xml.rels" ContentType="application/vnd.openxmlformats-package.relationship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Лист2" sheetId="1" state="visible" r:id="rId2"/>
    <sheet name="приход" sheetId="2" state="visible" r:id="rId3"/>
    <sheet name="Сводная таблица_приход_1" sheetId="3" state="visible" r:id="rId4"/>
    <sheet name="реализация" sheetId="4" state="visible" r:id="rId5"/>
    <sheet name="Сводная таблица_реализация_1" sheetId="5" state="visible" r:id="rId6"/>
  </sheets>
  <definedNames>
    <definedName function="false" hidden="true" localSheetId="1" name="_xlnm._FilterDatabase" vbProcedure="false">приход!$A$2:$Q$117</definedName>
    <definedName function="false" hidden="true" localSheetId="3" name="_xlnm._FilterDatabase" vbProcedure="false">реализация!$A$2:$K$67</definedName>
  </definedNames>
  <calcPr iterateCount="100" refMode="A1" iterate="false" iterateDelta="0.0001"/>
  <pivotCaches>
    <pivotCache cacheId="1" r:id="rId8"/>
    <pivotCache cacheId="2" r:id="rId9"/>
  </pivotCaches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<sst xmlns="http://schemas.openxmlformats.org/spreadsheetml/2006/main" count="965" uniqueCount="148">
  <si>
    <t xml:space="preserve">Поставщик</t>
  </si>
  <si>
    <t xml:space="preserve">Сумма - Сумма с НДС</t>
  </si>
  <si>
    <t xml:space="preserve">АО АРКА</t>
  </si>
  <si>
    <t xml:space="preserve">ЗАО КАМА</t>
  </si>
  <si>
    <t xml:space="preserve">ЗАО ЭКС</t>
  </si>
  <si>
    <t xml:space="preserve">на складе на 01.01</t>
  </si>
  <si>
    <t xml:space="preserve">ООО АНР</t>
  </si>
  <si>
    <t xml:space="preserve">ООО ДОРОГА</t>
  </si>
  <si>
    <t xml:space="preserve">ООО НЕРПА</t>
  </si>
  <si>
    <t xml:space="preserve">СТОРГ</t>
  </si>
  <si>
    <t xml:space="preserve">фирма ЛЕГИЯ</t>
  </si>
  <si>
    <t xml:space="preserve">фирма НК</t>
  </si>
  <si>
    <t xml:space="preserve">Итог Результат</t>
  </si>
  <si>
    <t xml:space="preserve">N п/п</t>
  </si>
  <si>
    <t xml:space="preserve">N приход. накладной</t>
  </si>
  <si>
    <t xml:space="preserve">Дата</t>
  </si>
  <si>
    <t xml:space="preserve">Наименование</t>
  </si>
  <si>
    <t xml:space="preserve">Товарная группа</t>
  </si>
  <si>
    <t xml:space="preserve">Един. измерения</t>
  </si>
  <si>
    <t xml:space="preserve">К-во единиц в упаковке</t>
  </si>
  <si>
    <t xml:space="preserve">К-во упаковок</t>
  </si>
  <si>
    <t xml:space="preserve">К-во единиц</t>
  </si>
  <si>
    <t xml:space="preserve">Цена ед. с НДС</t>
  </si>
  <si>
    <t xml:space="preserve">Сумма с НДС</t>
  </si>
  <si>
    <t xml:space="preserve">Ставка НДС, %</t>
  </si>
  <si>
    <t xml:space="preserve">Цена ед. без НДС</t>
  </si>
  <si>
    <t xml:space="preserve">Сумма без НДС</t>
  </si>
  <si>
    <t xml:space="preserve">Установленная цена реализации</t>
  </si>
  <si>
    <t xml:space="preserve">Наценка (%)</t>
  </si>
  <si>
    <t xml:space="preserve">остатки</t>
  </si>
  <si>
    <t xml:space="preserve">АМСТЕРДАМ 0,47 БАН</t>
  </si>
  <si>
    <t xml:space="preserve">бан</t>
  </si>
  <si>
    <t xml:space="preserve">П1</t>
  </si>
  <si>
    <t xml:space="preserve">П3</t>
  </si>
  <si>
    <t xml:space="preserve">П7</t>
  </si>
  <si>
    <t xml:space="preserve">П10</t>
  </si>
  <si>
    <t xml:space="preserve">П8</t>
  </si>
  <si>
    <t xml:space="preserve">АМСТЕРДАМ НАВИГАТОР 0,33 БАН</t>
  </si>
  <si>
    <t xml:space="preserve">БАДВАЙЗЕР /6ПЭК/0,33БУТ</t>
  </si>
  <si>
    <t xml:space="preserve">бут</t>
  </si>
  <si>
    <t xml:space="preserve">БАДВАЙЗЕР 0,33 БУТ</t>
  </si>
  <si>
    <t xml:space="preserve">БАДВАЙЗЕР 0,5 БУТ</t>
  </si>
  <si>
    <t xml:space="preserve">БЕЛЫЙ МЕДВЕДЬ 0,33 НИЗ БУТ</t>
  </si>
  <si>
    <t xml:space="preserve">БЕЛЫЙ МЕДВЕДЬ БАН 0,33</t>
  </si>
  <si>
    <t xml:space="preserve">БЕЛЫЙ МЕДВЕДЬ БАН 0,5</t>
  </si>
  <si>
    <t xml:space="preserve">БЕЛЫЙ МЕДВЕДЬ БУТ 0,33</t>
  </si>
  <si>
    <t xml:space="preserve">БУРЫЙ МЕДВЕДЬ 0,33 БУТ</t>
  </si>
  <si>
    <t xml:space="preserve">П6</t>
  </si>
  <si>
    <t xml:space="preserve">ВОДА СЕВЕН АП</t>
  </si>
  <si>
    <t xml:space="preserve">П11</t>
  </si>
  <si>
    <t xml:space="preserve">ГИННЕС 0,33 БУТ </t>
  </si>
  <si>
    <t xml:space="preserve">ГРОЛШ АМБЕР 0,33 БУТ</t>
  </si>
  <si>
    <t xml:space="preserve">ГРОЛШ АМБЕР 0,47 БУТ</t>
  </si>
  <si>
    <t xml:space="preserve">ГРОЛШ ПРЕМИУМ 0,47 БУТ</t>
  </si>
  <si>
    <t xml:space="preserve">ГРОЛШ ПРЕМИУМ БАН 0,33</t>
  </si>
  <si>
    <t xml:space="preserve">ГРОЛШ ПРЕМИУМ БОЧКА 5Л.</t>
  </si>
  <si>
    <t xml:space="preserve">бочка</t>
  </si>
  <si>
    <t xml:space="preserve">ГРОЛШ ПРЕМИУМ БУТ 0,25</t>
  </si>
  <si>
    <t xml:space="preserve">жевательная резинка без сахара</t>
  </si>
  <si>
    <t xml:space="preserve">шт</t>
  </si>
  <si>
    <t xml:space="preserve">жевательная резинка с сахаром</t>
  </si>
  <si>
    <t xml:space="preserve">звездочки Большевик</t>
  </si>
  <si>
    <t xml:space="preserve">КАБЕРНЕ</t>
  </si>
  <si>
    <t xml:space="preserve">КИНДЗМАРАУЛИ</t>
  </si>
  <si>
    <t xml:space="preserve">конфеты Ассорти 265 г</t>
  </si>
  <si>
    <t xml:space="preserve">кофе Folgers</t>
  </si>
  <si>
    <t xml:space="preserve">ЛОВЕНБРАУ 0,33 БУТ</t>
  </si>
  <si>
    <t xml:space="preserve">П2</t>
  </si>
  <si>
    <t xml:space="preserve">ЛОВЕНБРАУ ПИЛС БУТ 0,33</t>
  </si>
  <si>
    <t xml:space="preserve">майонез 250г Голландия</t>
  </si>
  <si>
    <t xml:space="preserve">майонез 250г россыпь</t>
  </si>
  <si>
    <t xml:space="preserve">майонез 500г Голландия</t>
  </si>
  <si>
    <t xml:space="preserve">макароны Стелла</t>
  </si>
  <si>
    <t xml:space="preserve">макароны Чехия</t>
  </si>
  <si>
    <t xml:space="preserve">МИЛЛЕР БИР 0,33 БУТ</t>
  </si>
  <si>
    <t xml:space="preserve">МИЛЛЕР ДЖЕНИУМ ДРАФТ 0,33 БУТ</t>
  </si>
  <si>
    <t xml:space="preserve">МИЛЛЕР ДЖЕНИУМ ДРАФТ 0,47 БАН</t>
  </si>
  <si>
    <t xml:space="preserve">МИЛЛЕР МАГНУМ 0,33 БУТ</t>
  </si>
  <si>
    <t xml:space="preserve">МИЛЛЕР МАГНУМ 0,47 БАН</t>
  </si>
  <si>
    <t xml:space="preserve">МИЛЛЕР ХАЙ ЛАЙФ 0,33 ДЛ БУТ</t>
  </si>
  <si>
    <t xml:space="preserve">МИЛЛЕР ХАЙ ЛАЙФ 1Л БАН</t>
  </si>
  <si>
    <t xml:space="preserve">минеральная вода</t>
  </si>
  <si>
    <t xml:space="preserve">МОНАСТЫРСКАЯ ИЗБА</t>
  </si>
  <si>
    <t xml:space="preserve">НАВИГАТОР МАРИНЕР 0,5 БАН</t>
  </si>
  <si>
    <t xml:space="preserve">НАВИГАТОР РЕТ 2,0</t>
  </si>
  <si>
    <t xml:space="preserve">натс</t>
  </si>
  <si>
    <t xml:space="preserve">П5</t>
  </si>
  <si>
    <t xml:space="preserve">ПЕПСИ-КОЛА 1,5</t>
  </si>
  <si>
    <t xml:space="preserve">принц Ролле печенье</t>
  </si>
  <si>
    <t xml:space="preserve">САНГРИЯ 1,5Л</t>
  </si>
  <si>
    <t xml:space="preserve">САНГРИЯ 1Л</t>
  </si>
  <si>
    <t xml:space="preserve">сок"золотой фазан" абрикос 1л</t>
  </si>
  <si>
    <t xml:space="preserve">упак</t>
  </si>
  <si>
    <t xml:space="preserve">сок"золотой фазан" вишня 1л</t>
  </si>
  <si>
    <t xml:space="preserve">сок"золотой фазан" персик 1л</t>
  </si>
  <si>
    <t xml:space="preserve">сок"золотой фазан" томат 1л</t>
  </si>
  <si>
    <t xml:space="preserve">П9</t>
  </si>
  <si>
    <t xml:space="preserve">сок"Синва" смородина 1л</t>
  </si>
  <si>
    <t xml:space="preserve">сок"Синва" томат 1л</t>
  </si>
  <si>
    <t xml:space="preserve">сок"Синва" яблочный 1л</t>
  </si>
  <si>
    <t xml:space="preserve">соус 57</t>
  </si>
  <si>
    <t xml:space="preserve">соус Барбекью</t>
  </si>
  <si>
    <t xml:space="preserve">соус Гипси</t>
  </si>
  <si>
    <t xml:space="preserve">соус коктейль</t>
  </si>
  <si>
    <t xml:space="preserve">соус мексиканский</t>
  </si>
  <si>
    <t xml:space="preserve">соус острый</t>
  </si>
  <si>
    <t xml:space="preserve">соус салатный</t>
  </si>
  <si>
    <t xml:space="preserve">соус томатный</t>
  </si>
  <si>
    <t xml:space="preserve">соус чесночный</t>
  </si>
  <si>
    <t xml:space="preserve">соус Чили</t>
  </si>
  <si>
    <t xml:space="preserve">соус Экзотика</t>
  </si>
  <si>
    <t xml:space="preserve">ТУТТИ-ФРУТТИ</t>
  </si>
  <si>
    <t xml:space="preserve">ФИЕСТА 1,5</t>
  </si>
  <si>
    <t xml:space="preserve">ХАЙЛАЙФ 0,33 БУТ</t>
  </si>
  <si>
    <t xml:space="preserve">ХВАНЧКАРА</t>
  </si>
  <si>
    <t xml:space="preserve">П4</t>
  </si>
  <si>
    <t xml:space="preserve">хлопья кукурузные Большевик</t>
  </si>
  <si>
    <t xml:space="preserve">ХОЛЬСТЕН 0,33 БУТ</t>
  </si>
  <si>
    <t xml:space="preserve">ХОЛЬСТЕН 0,33 НИЗ БУТ</t>
  </si>
  <si>
    <t xml:space="preserve">ХОЛЬСТЕН/БЕЗАЛК/ 0,5 БАН</t>
  </si>
  <si>
    <t xml:space="preserve">чай Меллион</t>
  </si>
  <si>
    <t xml:space="preserve">чай Наргис</t>
  </si>
  <si>
    <t xml:space="preserve">чай Стентор</t>
  </si>
  <si>
    <t xml:space="preserve">ШАРПС 0,33 БУТ</t>
  </si>
  <si>
    <t xml:space="preserve">шоколад Витязь</t>
  </si>
  <si>
    <t xml:space="preserve">Сумма - Цена ед. с НДС</t>
  </si>
  <si>
    <t xml:space="preserve">Данные</t>
  </si>
  <si>
    <t xml:space="preserve">ДАННЫЕ О РЕАЛИЗАЦИИ ТОВАРОВ</t>
  </si>
  <si>
    <t xml:space="preserve">N расх.накл.</t>
  </si>
  <si>
    <t xml:space="preserve">Отпущено упаковок</t>
  </si>
  <si>
    <t xml:space="preserve">Отпущено единиц</t>
  </si>
  <si>
    <t xml:space="preserve">Цена за единицу</t>
  </si>
  <si>
    <t xml:space="preserve">Сумма</t>
  </si>
  <si>
    <t xml:space="preserve">Покупатель</t>
  </si>
  <si>
    <t xml:space="preserve">Р-Н ТУРИСТ</t>
  </si>
  <si>
    <t xml:space="preserve">ЕНИСЕЙ</t>
  </si>
  <si>
    <t xml:space="preserve">универсам</t>
  </si>
  <si>
    <t xml:space="preserve">М-Н "столица"</t>
  </si>
  <si>
    <t xml:space="preserve">М-Н "гроза"</t>
  </si>
  <si>
    <t xml:space="preserve">ОБЩЕПИТ</t>
  </si>
  <si>
    <t xml:space="preserve">ТД ГЛАВСНАБ</t>
  </si>
  <si>
    <t xml:space="preserve">бавария</t>
  </si>
  <si>
    <t xml:space="preserve">кальмар-2</t>
  </si>
  <si>
    <t xml:space="preserve">ОСЕННИЙ САД</t>
  </si>
  <si>
    <t xml:space="preserve">ЦЕНТР ОБСЛУЖИВАНИЯ</t>
  </si>
  <si>
    <t xml:space="preserve">ТОО "фунт"</t>
  </si>
  <si>
    <t xml:space="preserve">ТД "лена"</t>
  </si>
  <si>
    <t xml:space="preserve">Сумма - Сумма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</si>
</sst>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%"/>
    <numFmt numFmtId="166" formatCode="0.00"/>
    <numFmt numFmtId="167" formatCode="M/D/YYYY"/>
    <numFmt numFmtId="168" formatCode="0%"/>
    <numFmt numFmtId="169" formatCode="DD/MM/YY;@"/>
  </numFmts>
  <fonts count="6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2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6" xfId="22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7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Заглавие сводной таблицы" xfId="20"/>
    <cellStyle name="Значение сводной таблицы" xfId="21"/>
    <cellStyle name="Категория сводной таблицы" xfId="22"/>
    <cellStyle name="Поле сводной таблицы" xfId="23"/>
    <cellStyle name="Результат сводной таблицы" xfId="24"/>
    <cellStyle name="Угол сводной таблицы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<Relationship Id="rId8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2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pieChart>
        <c:varyColors val="1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explosion val="0"/>
          <c:dPt>
            <c:idx val="0"/>
            <c:spPr>
              <a:solidFill>
                <a:srgbClr val="004586"/>
              </a:solidFill>
              <a:ln>
                <a:noFill/>
              </a:ln>
            </c:spPr>
          </c:dPt>
          <c:dPt>
            <c:idx val="1"/>
            <c:spPr>
              <a:solidFill>
                <a:srgbClr val="ff420e"/>
              </a:solidFill>
              <a:ln>
                <a:noFill/>
              </a:ln>
            </c:spPr>
          </c:dPt>
          <c:dPt>
            <c:idx val="2"/>
            <c:spPr>
              <a:solidFill>
                <a:srgbClr val="ffd320"/>
              </a:solidFill>
              <a:ln>
                <a:noFill/>
              </a:ln>
            </c:spPr>
          </c:dPt>
          <c:dPt>
            <c:idx val="3"/>
            <c:spPr>
              <a:solidFill>
                <a:srgbClr val="579d1c"/>
              </a:solidFill>
              <a:ln>
                <a:noFill/>
              </a:ln>
            </c:spPr>
          </c:dPt>
          <c:dPt>
            <c:idx val="4"/>
            <c:spPr>
              <a:solidFill>
                <a:srgbClr val="7e0021"/>
              </a:solidFill>
              <a:ln>
                <a:noFill/>
              </a:ln>
            </c:spPr>
          </c:dPt>
          <c:dPt>
            <c:idx val="5"/>
            <c:spPr>
              <a:solidFill>
                <a:srgbClr val="83caff"/>
              </a:solidFill>
              <a:ln>
                <a:noFill/>
              </a:ln>
            </c:spPr>
          </c:dPt>
          <c:dPt>
            <c:idx val="6"/>
            <c:spPr>
              <a:solidFill>
                <a:srgbClr val="314004"/>
              </a:solidFill>
              <a:ln>
                <a:noFill/>
              </a:ln>
            </c:spPr>
          </c:dPt>
          <c:dPt>
            <c:idx val="7"/>
            <c:spPr>
              <a:solidFill>
                <a:srgbClr val="aecf00"/>
              </a:solidFill>
              <a:ln>
                <a:noFill/>
              </a:ln>
            </c:spPr>
          </c:dPt>
          <c:dPt>
            <c:idx val="8"/>
            <c:spPr>
              <a:solidFill>
                <a:srgbClr val="4b1f6f"/>
              </a:solidFill>
              <a:ln>
                <a:noFill/>
              </a:ln>
            </c:spPr>
          </c:dPt>
          <c:dPt>
            <c:idx val="9"/>
            <c:spPr>
              <a:solidFill>
                <a:srgbClr val="ff950e"/>
              </a:solidFill>
              <a:ln>
                <a:noFill/>
              </a:ln>
            </c:spPr>
          </c:dPt>
          <c:dPt>
            <c:idx val="10"/>
            <c:spPr>
              <a:solidFill>
                <a:srgbClr val="c5000b"/>
              </a:solidFill>
              <a:ln>
                <a:noFill/>
              </a:ln>
            </c:spPr>
          </c:dPt>
          <c:dPt>
            <c:idx val="11"/>
            <c:spPr>
              <a:solidFill>
                <a:srgbClr val="0084d1"/>
              </a:solidFill>
              <a:ln>
                <a:noFill/>
              </a:ln>
            </c:spPr>
          </c:dPt>
          <c:dPt>
            <c:idx val="12"/>
            <c:spPr>
              <a:solidFill>
                <a:srgbClr val="004586"/>
              </a:solidFill>
              <a:ln>
                <a:noFill/>
              </a:ln>
            </c:spPr>
          </c:dPt>
          <c:dLbls>
            <c:numFmt formatCode="General" sourceLinked="1"/>
            <c:dLbl>
              <c:idx val="0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2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3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4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5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6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7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8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9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10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1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dLbl>
              <c:idx val="12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</c:dLbl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categories</c:f>
              <c:strCach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strCache>
            </c:strRef>
          </c:cat>
          <c:val>
            <c:numRef>
              <c:f>0</c:f>
              <c:numCache>
                <c:formatCode>General</c:formatCode>
                <c:ptCount val="13"/>
                <c:pt idx="0">
                  <c:v>543.6</c:v>
                </c:pt>
                <c:pt idx="1">
                  <c:v>17432.2</c:v>
                </c:pt>
                <c:pt idx="2">
                  <c:v>618.5</c:v>
                </c:pt>
                <c:pt idx="3">
                  <c:v>188.5</c:v>
                </c:pt>
                <c:pt idx="4">
                  <c:v>313.1</c:v>
                </c:pt>
                <c:pt idx="5">
                  <c:v>91.2</c:v>
                </c:pt>
                <c:pt idx="6">
                  <c:v>955.2</c:v>
                </c:pt>
                <c:pt idx="7">
                  <c:v>119.3</c:v>
                </c:pt>
                <c:pt idx="8">
                  <c:v>112.8</c:v>
                </c:pt>
                <c:pt idx="9">
                  <c:v>227.9</c:v>
                </c:pt>
                <c:pt idx="10">
                  <c:v>394.7</c:v>
                </c:pt>
                <c:pt idx="11">
                  <c:v>693</c:v>
                </c:pt>
                <c:pt idx="12">
                  <c:v>4651.6</c:v>
                </c:pt>
              </c:numCache>
            </c:numRef>
          </c:val>
        </c:ser>
        <c:firstSliceAng val="0"/>
      </c:pieChart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zero"/>
  </c:chart>
  <c:spPr>
    <a:solidFill>
      <a:srgbClr val="ffffff"/>
    </a:solidFill>
    <a:ln>
      <a:noFill/>
    </a:ln>
  </c:spPr>
</c:chartSpace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645480</xdr:colOff>
      <xdr:row>1</xdr:row>
      <xdr:rowOff>153360</xdr:rowOff>
    </xdr:from>
    <xdr:to>
      <xdr:col>9</xdr:col>
      <xdr:colOff>716760</xdr:colOff>
      <xdr:row>21</xdr:row>
      <xdr:rowOff>143280</xdr:rowOff>
    </xdr:to>
    <xdr:graphicFrame>
      <xdr:nvGraphicFramePr>
        <xdr:cNvPr id="0" name="Диаграмма 1"/>
        <xdr:cNvGraphicFramePr/>
      </xdr:nvGraphicFramePr>
      <xdr:xfrm>
        <a:off x="3496320" y="343800"/>
        <a:ext cx="5774400" cy="379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15" createdVersion="3">
  <cacheSource type="worksheet">
    <worksheetSource ref="A2:Q117" sheet="приход"/>
  </cacheSource>
  <cacheFields count="17">
    <cacheField name="N п/п" numFmtId="0">
      <sharedItems containsSemiMixedTypes="0" containsString="0" containsNumber="1" containsInteger="1" minValue="1" maxValue="117" count="11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</sharedItems>
    </cacheField>
    <cacheField name="N приход. накладной" numFmtId="0">
      <sharedItems count="12">
        <s v="остатки"/>
        <s v="П1"/>
        <s v="П10"/>
        <s v="П11"/>
        <s v="П2"/>
        <s v="П3"/>
        <s v="П4"/>
        <s v="П5"/>
        <s v="П6"/>
        <s v="П7"/>
        <s v="П8"/>
        <s v="П9"/>
      </sharedItems>
    </cacheField>
    <cacheField name="Дата" numFmtId="0">
      <sharedItems containsSemiMixedTypes="0" containsNonDate="0" containsDate="1" containsString="0" minDate="2012-01-01T00:00:00" maxDate="2012-03-28T00:00:00" count="13">
        <d v="2012-01-01T00:00:00"/>
        <d v="2012-01-10T00:00:00"/>
        <d v="2012-01-13T00:00:00"/>
        <d v="2012-01-16T00:00:00"/>
        <d v="2012-01-17T00:00:00"/>
        <d v="2012-01-21T00:00:00"/>
        <d v="2012-01-27T00:00:00"/>
        <d v="2012-01-29T00:00:00"/>
        <d v="2012-03-03T00:00:00"/>
        <d v="2012-03-11T00:00:00"/>
        <d v="2012-03-26T00:00:00"/>
        <d v="2012-03-27T00:00:00"/>
        <d v="2012-03-28T00:00:00"/>
      </sharedItems>
    </cacheField>
    <cacheField name="Наименование" numFmtId="0">
      <sharedItems count="79">
        <s v="АМСТЕРДАМ 0,47 БАН"/>
        <s v="АМСТЕРДАМ НАВИГАТОР 0,33 БАН"/>
        <s v="БАДВАЙЗЕР /6ПЭК/0,33БУТ"/>
        <s v="БАДВАЙЗЕР 0,33 БУТ"/>
        <s v="БАДВАЙЗЕР 0,5 БУТ"/>
        <s v="БЕЛЫЙ МЕДВЕДЬ 0,33 НИЗ БУТ"/>
        <s v="БЕЛЫЙ МЕДВЕДЬ БАН 0,33"/>
        <s v="БЕЛЫЙ МЕДВЕДЬ БАН 0,5"/>
        <s v="БЕЛЫЙ МЕДВЕДЬ БУТ 0,33"/>
        <s v="БУРЫЙ МЕДВЕДЬ 0,33 БУТ"/>
        <s v="ВОДА СЕВЕН АП"/>
        <s v="ГИННЕС 0,33 БУТ "/>
        <s v="ГРОЛШ АМБЕР 0,33 БУТ"/>
        <s v="ГРОЛШ АМБЕР 0,47 БУТ"/>
        <s v="ГРОЛШ ПРЕМИУМ 0,47 БУТ"/>
        <s v="ГРОЛШ ПРЕМИУМ БАН 0,33"/>
        <s v="ГРОЛШ ПРЕМИУМ БОЧКА 5Л."/>
        <s v="ГРОЛШ ПРЕМИУМ БУТ 0,25"/>
        <s v="жевательная резинка без сахара"/>
        <s v="жевательная резинка с сахаром"/>
        <s v="звездочки Большевик"/>
        <s v="КАБЕРНЕ"/>
        <s v="КИНДЗМАРАУЛИ"/>
        <s v="конфеты Ассорти 265 г"/>
        <s v="кофе Folgers"/>
        <s v="ЛОВЕНБРАУ 0,33 БУТ"/>
        <s v="ЛОВЕНБРАУ ПИЛС БУТ 0,33"/>
        <s v="майонез 250г Голландия"/>
        <s v="майонез 250г россыпь"/>
        <s v="майонез 500г Голландия"/>
        <s v="макароны Стелла"/>
        <s v="макароны Чехия"/>
        <s v="МИЛЛЕР БИР 0,33 БУТ"/>
        <s v="МИЛЛЕР ДЖЕНИУМ ДРАФТ 0,33 БУТ"/>
        <s v="МИЛЛЕР ДЖЕНИУМ ДРАФТ 0,47 БАН"/>
        <s v="МИЛЛЕР МАГНУМ 0,33 БУТ"/>
        <s v="МИЛЛЕР МАГНУМ 0,47 БАН"/>
        <s v="МИЛЛЕР ХАЙ ЛАЙФ 0,33 ДЛ БУТ"/>
        <s v="МИЛЛЕР ХАЙ ЛАЙФ 1Л БАН"/>
        <s v="минеральная вода"/>
        <s v="МОНАСТЫРСКАЯ ИЗБА"/>
        <s v="НАВИГАТОР МАРИНЕР 0,5 БАН"/>
        <s v="НАВИГАТОР РЕТ 2,0"/>
        <s v="натс"/>
        <s v="ПЕПСИ-КОЛА 1,5"/>
        <s v="принц Ролле печенье"/>
        <s v="САНГРИЯ 1,5Л"/>
        <s v="САНГРИЯ 1Л"/>
        <s v="сок&quot;золотой фазан&quot; абрикос 1л"/>
        <s v="сок&quot;золотой фазан&quot; вишня 1л"/>
        <s v="сок&quot;золотой фазан&quot; персик 1л"/>
        <s v="сок&quot;золотой фазан&quot; томат 1л"/>
        <s v="сок&quot;Синва&quot; смородина 1л"/>
        <s v="сок&quot;Синва&quot; томат 1л"/>
        <s v="сок&quot;Синва&quot; яблочный 1л"/>
        <s v="соус 57"/>
        <s v="соус Барбекью"/>
        <s v="соус Гипси"/>
        <s v="соус коктейль"/>
        <s v="соус мексиканский"/>
        <s v="соус острый"/>
        <s v="соус салатный"/>
        <s v="соус томатный"/>
        <s v="соус чесночный"/>
        <s v="соус Чили"/>
        <s v="соус Экзотика"/>
        <s v="ТУТТИ-ФРУТТИ"/>
        <s v="ФИЕСТА 1,5"/>
        <s v="ХАЙЛАЙФ 0,33 БУТ"/>
        <s v="ХВАНЧКАРА"/>
        <s v="хлопья кукурузные Большевик"/>
        <s v="ХОЛЬСТЕН 0,33 БУТ"/>
        <s v="ХОЛЬСТЕН 0,33 НИЗ БУТ"/>
        <s v="ХОЛЬСТЕН/БЕЗАЛК/ 0,5 БАН"/>
        <s v="чай Меллион"/>
        <s v="чай Наргис"/>
        <s v="чай Стентор"/>
        <s v="ШАРПС 0,33 БУТ"/>
        <s v="шоколад Витязь"/>
      </sharedItems>
    </cacheField>
    <cacheField name="Товарная группа" numFmtId="0">
      <sharedItems containsSemiMixedTypes="0" containsString="0" containsNumber="1" containsInteger="1" minValue="1" maxValue="5" count="4">
        <n v="1"/>
        <n v="2"/>
        <n v="4"/>
        <n v="5"/>
      </sharedItems>
    </cacheField>
    <cacheField name="Един. измерения" numFmtId="0">
      <sharedItems count="5">
        <s v="бан"/>
        <s v="бочка"/>
        <s v="бут"/>
        <s v="упак"/>
        <s v="шт"/>
      </sharedItems>
    </cacheField>
    <cacheField name="К-во единиц в упаковке" numFmtId="0">
      <sharedItems containsSemiMixedTypes="0" containsString="0" containsNumber="1" containsInteger="1" minValue="1" maxValue="200" count="7">
        <n v="1"/>
        <n v="2"/>
        <n v="6"/>
        <n v="12"/>
        <n v="20"/>
        <n v="24"/>
        <n v="200"/>
      </sharedItems>
    </cacheField>
    <cacheField name="К-во упаковок" numFmtId="0">
      <sharedItems containsSemiMixedTypes="0" containsString="0" containsNumber="1" minValue="0.5" maxValue="3800" count="62">
        <n v="0.5"/>
        <n v="1"/>
        <n v="2"/>
        <n v="3"/>
        <n v="5"/>
        <n v="6"/>
        <n v="8"/>
        <n v="9"/>
        <n v="10"/>
        <n v="10.2"/>
        <n v="11"/>
        <n v="12"/>
        <n v="14"/>
        <n v="15"/>
        <n v="16"/>
        <n v="17"/>
        <n v="18"/>
        <n v="19"/>
        <n v="20"/>
        <n v="21"/>
        <n v="24"/>
        <n v="25"/>
        <n v="30"/>
        <n v="40"/>
        <n v="43"/>
        <n v="45"/>
        <n v="48"/>
        <n v="50"/>
        <n v="53"/>
        <n v="54"/>
        <n v="57"/>
        <n v="60"/>
        <n v="61"/>
        <n v="62"/>
        <n v="63"/>
        <n v="64"/>
        <n v="65"/>
        <n v="70"/>
        <n v="72"/>
        <n v="75"/>
        <n v="87"/>
        <n v="93"/>
        <n v="99"/>
        <n v="100"/>
        <n v="108"/>
        <n v="114"/>
        <n v="120"/>
        <n v="126"/>
        <n v="128"/>
        <n v="143"/>
        <n v="154"/>
        <n v="160"/>
        <n v="200"/>
        <n v="205"/>
        <n v="217"/>
        <n v="242"/>
        <n v="253"/>
        <n v="264"/>
        <n v="386"/>
        <n v="1600"/>
        <n v="2620"/>
        <n v="3800"/>
      </sharedItems>
    </cacheField>
    <cacheField name="К-во единиц" numFmtId="0">
      <sharedItems containsSemiMixedTypes="0" containsString="0" containsNumber="1" containsInteger="1" minValue="2" maxValue="4920" count="73">
        <n v="2"/>
        <n v="5"/>
        <n v="6"/>
        <n v="8"/>
        <n v="9"/>
        <n v="12"/>
        <n v="16"/>
        <n v="17"/>
        <n v="18"/>
        <n v="20"/>
        <n v="24"/>
        <n v="25"/>
        <n v="45"/>
        <n v="48"/>
        <n v="62"/>
        <n v="65"/>
        <n v="72"/>
        <n v="84"/>
        <n v="93"/>
        <n v="96"/>
        <n v="100"/>
        <n v="114"/>
        <n v="120"/>
        <n v="128"/>
        <n v="132"/>
        <n v="143"/>
        <n v="154"/>
        <n v="180"/>
        <n v="204"/>
        <n v="228"/>
        <n v="240"/>
        <n v="242"/>
        <n v="253"/>
        <n v="264"/>
        <n v="288"/>
        <n v="300"/>
        <n v="360"/>
        <n v="386"/>
        <n v="480"/>
        <n v="576"/>
        <n v="600"/>
        <n v="684"/>
        <n v="768"/>
        <n v="900"/>
        <n v="960"/>
        <n v="1000"/>
        <n v="1032"/>
        <n v="1200"/>
        <n v="1272"/>
        <n v="1296"/>
        <n v="1368"/>
        <n v="1400"/>
        <n v="1440"/>
        <n v="1464"/>
        <n v="1512"/>
        <n v="1600"/>
        <n v="1680"/>
        <n v="1728"/>
        <n v="1800"/>
        <n v="1920"/>
        <n v="2088"/>
        <n v="2376"/>
        <n v="2400"/>
        <n v="2592"/>
        <n v="2604"/>
        <n v="2620"/>
        <n v="2880"/>
        <n v="3000"/>
        <n v="3024"/>
        <n v="3800"/>
        <n v="4200"/>
        <n v="4800"/>
        <n v="4920"/>
      </sharedItems>
    </cacheField>
    <cacheField name="Цена ед. с НДС" numFmtId="0">
      <sharedItems containsSemiMixedTypes="0" containsString="0" containsNumber="1" minValue="1" maxValue="18.69" count="90">
        <n v="1"/>
        <n v="1.2"/>
        <n v="1.34"/>
        <n v="1.71"/>
        <n v="1.72"/>
        <n v="2.44"/>
        <n v="2.5"/>
        <n v="2.52"/>
        <n v="2.98"/>
        <n v="3.04"/>
        <n v="3.1"/>
        <n v="3.3"/>
        <n v="3.33"/>
        <n v="3.38"/>
        <n v="3.4"/>
        <n v="3.43"/>
        <n v="3.61"/>
        <n v="3.66"/>
        <n v="3.68"/>
        <n v="3.74"/>
        <n v="3.75"/>
        <n v="3.76"/>
        <n v="3.77"/>
        <n v="3.8"/>
        <n v="3.83"/>
        <n v="3.85"/>
        <n v="3.86"/>
        <n v="3.88"/>
        <n v="3.9"/>
        <n v="3.94"/>
        <n v="4.11"/>
        <n v="4.16"/>
        <n v="4.18"/>
        <n v="4.2"/>
        <n v="4.21"/>
        <n v="4.25"/>
        <n v="4.26"/>
        <n v="4.28"/>
        <n v="4.3"/>
        <n v="4.33"/>
        <n v="4.38"/>
        <n v="4.45"/>
        <n v="4.47"/>
        <n v="4.5"/>
        <n v="4.58"/>
        <n v="4.62"/>
        <n v="4.72"/>
        <n v="4.79"/>
        <n v="4.8"/>
        <n v="4.81"/>
        <n v="4.83"/>
        <n v="4.89"/>
        <n v="4.95"/>
        <n v="5.11"/>
        <n v="5.18"/>
        <n v="5.21"/>
        <n v="5.33"/>
        <n v="5.42"/>
        <n v="5.45"/>
        <n v="5.5"/>
        <n v="5.76"/>
        <n v="5.8"/>
        <n v="5.86"/>
        <n v="5.87"/>
        <n v="6.01"/>
        <n v="6.13"/>
        <n v="6.27"/>
        <n v="6.4"/>
        <n v="6.46"/>
        <n v="7.2"/>
        <n v="7.21"/>
        <n v="7.64"/>
        <n v="7.92"/>
        <n v="7.98"/>
        <n v="8.38"/>
        <n v="8.69"/>
        <n v="8.71"/>
        <n v="8.9"/>
        <n v="8.99"/>
        <n v="9.01"/>
        <n v="9.3"/>
        <n v="9.54"/>
        <n v="9.95"/>
        <n v="10.15"/>
        <n v="10.18"/>
        <n v="11.87"/>
        <n v="14.19"/>
        <n v="15.2"/>
        <n v="16.61"/>
        <n v="18.69"/>
      </sharedItems>
    </cacheField>
    <cacheField name="Сумма с НДС" numFmtId="0">
      <sharedItems containsString="0" containsBlank="1" count="1">
        <m/>
      </sharedItems>
    </cacheField>
    <cacheField name="Ставка НДС, %" numFmtId="0">
      <sharedItems containsSemiMixedTypes="0" containsString="0" containsNumber="1" minValue="0.18" maxValue="0.18" count="1">
        <n v="0.18"/>
      </sharedItems>
    </cacheField>
    <cacheField name="Цена ед. без НДС" numFmtId="0">
      <sharedItems containsSemiMixedTypes="0" containsString="0" containsNumber="1" minValue="0.847457627118644" maxValue="15.8389830508475" count="90">
        <n v="0.847457627118644"/>
        <n v="1.01694915254237"/>
        <n v="1.13559322033898"/>
        <n v="1.44915254237288"/>
        <n v="1.45762711864407"/>
        <n v="2.06779661016949"/>
        <n v="2.11864406779661"/>
        <n v="2.13559322033898"/>
        <n v="2.52542372881356"/>
        <n v="2.57627118644068"/>
        <n v="2.6271186440678"/>
        <n v="2.79661016949153"/>
        <n v="2.82203389830508"/>
        <n v="2.86440677966102"/>
        <n v="2.88135593220339"/>
        <n v="2.90677966101695"/>
        <n v="3.0593220338983"/>
        <n v="3.10169491525424"/>
        <n v="3.11864406779661"/>
        <n v="3.16949152542373"/>
        <n v="3.17796610169492"/>
        <n v="3.1864406779661"/>
        <n v="3.19491525423729"/>
        <n v="3.22033898305085"/>
        <n v="3.24576271186441"/>
        <n v="3.26271186440678"/>
        <n v="3.27118644067797"/>
        <n v="3.28813559322034"/>
        <n v="3.30508474576271"/>
        <n v="3.33898305084746"/>
        <n v="3.48305084745763"/>
        <n v="3.52542372881356"/>
        <n v="3.54237288135593"/>
        <n v="3.55932203389831"/>
        <n v="3.56779661016949"/>
        <n v="3.60169491525424"/>
        <n v="3.61016949152542"/>
        <n v="3.6271186440678"/>
        <n v="3.64406779661017"/>
        <n v="3.66949152542373"/>
        <n v="3.71186440677966"/>
        <n v="3.77118644067797"/>
        <n v="3.78813559322034"/>
        <n v="3.8135593220339"/>
        <n v="3.88135593220339"/>
        <n v="3.91525423728814"/>
        <n v="4"/>
        <n v="4.05932203389831"/>
        <n v="4.06779661016949"/>
        <n v="4.07627118644068"/>
        <n v="4.09322033898305"/>
        <n v="4.14406779661017"/>
        <n v="4.19491525423729"/>
        <n v="4.33050847457627"/>
        <n v="4.38983050847458"/>
        <n v="4.41525423728814"/>
        <n v="4.51694915254237"/>
        <n v="4.59322033898305"/>
        <n v="4.61864406779661"/>
        <n v="4.66101694915254"/>
        <n v="4.88135593220339"/>
        <n v="4.91525423728814"/>
        <n v="4.96610169491525"/>
        <n v="4.97457627118644"/>
        <n v="5.09322033898305"/>
        <n v="5.19491525423729"/>
        <n v="5.3135593220339"/>
        <n v="5.42372881355932"/>
        <n v="5.47457627118644"/>
        <n v="6.10169491525424"/>
        <n v="6.11016949152542"/>
        <n v="6.47457627118644"/>
        <n v="6.71186440677966"/>
        <n v="6.76271186440678"/>
        <n v="7.10169491525424"/>
        <n v="7.36440677966102"/>
        <n v="7.38135593220339"/>
        <n v="7.54237288135593"/>
        <n v="7.61864406779661"/>
        <n v="7.63559322033898"/>
        <n v="7.88135593220339"/>
        <n v="8.08474576271186"/>
        <n v="8.43220338983051"/>
        <n v="8.60169491525424"/>
        <n v="8.6271186440678"/>
        <n v="10.0593220338983"/>
        <n v="12.0254237288136"/>
        <n v="12.8813559322034"/>
        <n v="14.0762711864407"/>
        <n v="15.8389830508475"/>
      </sharedItems>
    </cacheField>
    <cacheField name="Сумма без НДС" numFmtId="0">
      <sharedItems containsString="0" containsBlank="1" count="1">
        <m/>
      </sharedItems>
    </cacheField>
    <cacheField name="Установленная цена реализации" numFmtId="0">
      <sharedItems containsSemiMixedTypes="0" containsString="0" containsNumber="1" minValue="1.2" maxValue="20.77" count="74">
        <n v="1.2"/>
        <n v="1.6"/>
        <n v="1.98"/>
        <n v="2.05"/>
        <n v="2.16"/>
        <n v="2.99"/>
        <n v="3.1"/>
        <n v="3.3"/>
        <n v="3.73"/>
        <n v="4"/>
        <n v="4.2"/>
        <n v="4.23"/>
        <n v="4.25"/>
        <n v="4.3"/>
        <n v="4.5"/>
        <n v="4.58"/>
        <n v="4.7"/>
        <n v="4.79"/>
        <n v="4.8"/>
        <n v="4.85"/>
        <n v="4.9"/>
        <n v="4.95"/>
        <n v="5"/>
        <n v="5.15"/>
        <n v="5.2"/>
        <n v="5.23"/>
        <n v="5.25"/>
        <n v="5.3"/>
        <n v="5.35"/>
        <n v="5.4"/>
        <n v="5.5"/>
        <n v="5.55"/>
        <n v="5.56"/>
        <n v="5.59"/>
        <n v="5.6"/>
        <n v="5.7"/>
        <n v="5.8"/>
        <n v="6"/>
        <n v="6.05"/>
        <n v="6.15"/>
        <n v="6.2"/>
        <n v="6.4"/>
        <n v="6.43"/>
        <n v="6.46"/>
        <n v="6.48"/>
        <n v="6.5"/>
        <n v="6.9"/>
        <n v="6.99"/>
        <n v="7"/>
        <n v="7.2"/>
        <n v="7.25"/>
        <n v="7.3"/>
        <n v="7.41"/>
        <n v="8"/>
        <n v="8.71"/>
        <n v="8.72"/>
        <n v="8.9"/>
        <n v="8.99"/>
        <n v="9.56"/>
        <n v="9.98"/>
        <n v="9.99"/>
        <n v="10.3"/>
        <n v="10.5"/>
        <n v="10.99"/>
        <n v="11.5"/>
        <n v="12"/>
        <n v="12.45"/>
        <n v="12.5"/>
        <n v="12.68"/>
        <n v="14.85"/>
        <n v="17.1"/>
        <n v="17.7"/>
        <n v="20.5"/>
        <n v="20.77"/>
      </sharedItems>
    </cacheField>
    <cacheField name="Наценка (%)" numFmtId="0">
      <sharedItems containsSemiMixedTypes="0" containsString="0" containsNumber="1" minValue="0" maxValue="0.477611940298507" count="92">
        <n v="0"/>
        <n v="0.00114810562571754"/>
        <n v="0.0114192495921697"/>
        <n v="0.0334928229665073"/>
        <n v="0.064516129032258"/>
        <n v="0.078125"/>
        <n v="0.09375"/>
        <n v="0.0968432316746923"/>
        <n v="0.100917431192661"/>
        <n v="0.102564102564103"/>
        <n v="0.108768035516093"/>
        <n v="0.111234705228031"/>
        <n v="0.13510101010101"/>
        <n v="0.13871635610766"/>
        <n v="0.141552511415525"/>
        <n v="0.153846153846154"/>
        <n v="0.164473684210526"/>
        <n v="0.168122270742358"/>
        <n v="0.181720430107527"/>
        <n v="0.181818181818182"/>
        <n v="0.185270425776755"/>
        <n v="0.186440677966102"/>
        <n v="0.192832764505119"/>
        <n v="0.196"/>
        <n v="0.196172248803828"/>
        <n v="0.198830409356725"/>
        <n v="0.199261992619926"/>
        <n v="0.2"/>
        <n v="0.200750469043152"/>
        <n v="0.20507399577167"/>
        <n v="0.205128205128205"/>
        <n v="0.205450733752621"/>
        <n v="0.206030150753769"/>
        <n v="0.208044382801664"/>
        <n v="0.215277777777778"/>
        <n v="0.227897838899804"/>
        <n v="0.23015873015873"/>
        <n v="0.233766233766234"/>
        <n v="0.238317757009346"/>
        <n v="0.243611584327087"/>
        <n v="0.244186046511628"/>
        <n v="0.246537396121884"/>
        <n v="0.246684350132626"/>
        <n v="0.246753246753247"/>
        <n v="0.247113163972286"/>
        <n v="0.247600767754319"/>
        <n v="0.249261083743842"/>
        <n v="0.249438202247191"/>
        <n v="0.25"/>
        <n v="0.250451535219747"/>
        <n v="0.250559284116331"/>
        <n v="0.25062656641604"/>
        <n v="0.25065274151436"/>
        <n v="0.250965250965251"/>
        <n v="0.251053074978938"/>
        <n v="0.251196172248804"/>
        <n v="0.251256281407035"/>
        <n v="0.25130890052356"/>
        <n v="0.251366120218579"/>
        <n v="0.251479289940829"/>
        <n v="0.251677852348993"/>
        <n v="0.252525252525252"/>
        <n v="0.252609603340292"/>
        <n v="0.252983293556086"/>
        <n v="0.253041362530414"/>
        <n v="0.253263707571801"/>
        <n v="0.253644314868805"/>
        <n v="0.255813953488372"/>
        <n v="0.257668711656442"/>
        <n v="0.257796257796258"/>
        <n v="0.258317025440313"/>
        <n v="0.258823529411765"/>
        <n v="0.258907363420428"/>
        <n v="0.261261261261261"/>
        <n v="0.262019230769231"/>
        <n v="0.269035532994924"/>
        <n v="0.269430051813472"/>
        <n v="0.270491803278689"/>
        <n v="0.274038461538461"/>
        <n v="0.29242819843342"/>
        <n v="0.302816901408451"/>
        <n v="0.31578947368421"/>
        <n v="0.317934782608695"/>
        <n v="0.324200913242009"/>
        <n v="0.331114808652246"/>
        <n v="0.333333333333333"/>
        <n v="0.363636363636364"/>
        <n v="0.382978723404255"/>
        <n v="0.390374331550802"/>
        <n v="0.421052631578948"/>
        <n v="0.444444444444444"/>
        <n v="0.477611940298507"/>
      </sharedItems>
    </cacheField>
    <cacheField name="Поставщик" numFmtId="0">
      <sharedItems count="10">
        <s v="АО АРКА"/>
        <s v="ЗАО КАМА"/>
        <s v="ЗАО ЭКС"/>
        <s v="на складе на 01.01"/>
        <s v="ООО АНР"/>
        <s v="ООО ДОРОГА"/>
        <s v="ООО НЕРПА"/>
        <s v="СТОРГ"/>
        <s v="фирма ЛЕГИЯ"/>
        <s v="фирма НК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65" createdVersion="3">
  <cacheSource type="worksheet">
    <worksheetSource ref="A2:K67" sheet="реализация"/>
  </cacheSource>
  <cacheFields count="11">
    <cacheField name="N п/п" numFmtId="0">
      <sharedItems containsSemiMixedTypes="0" containsString="0" containsNumber="1" containsInteger="1" minValue="1" maxValue="65" count="6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</sharedItems>
    </cacheField>
    <cacheField name="Дата" numFmtId="0">
      <sharedItems containsSemiMixedTypes="0" containsNonDate="0" containsDate="1" containsString="0" minDate="2012-01-06T00:00:00" maxDate="2012-01-14T00:00:00" count="5">
        <d v="2012-01-06T00:00:00"/>
        <d v="2012-01-08T00:00:00"/>
        <d v="2012-01-09T00:00:00"/>
        <d v="2012-01-13T00:00:00"/>
        <d v="2012-01-14T00:00:00"/>
      </sharedItems>
    </cacheField>
    <cacheField name="N расх.накл." numFmtId="0">
      <sharedItems containsSemiMixedTypes="0" containsString="0" containsNumber="1" containsInteger="1" minValue="1" maxValue="14" count="1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</sharedItems>
    </cacheField>
    <cacheField name="Наименование" numFmtId="0">
      <sharedItems count="25">
        <s v="АМСТЕРДАМ 0,47 БАН"/>
        <s v="БАДВАЙЗЕР 0,33 БУТ"/>
        <s v="БАДВАЙЗЕР 0,5 БУТ"/>
        <s v="БЕЛЫЙ МЕДВЕДЬ БАН 0,5"/>
        <s v="БЕЛЫЙ МЕДВЕДЬ БУТ 0,33"/>
        <s v="ГРОЛШ АМБЕР 0,33 БУТ"/>
        <s v="ГРОЛШ АМБЕР 0,47 БУТ"/>
        <s v="ГРОЛШ ПРЕМИУМ 0,47 БУТ"/>
        <s v="жевательная резинка с сахаром"/>
        <s v="КАБЕРНЕ"/>
        <s v="КИНДЗМАРАУЛИ"/>
        <s v="ЛОВЕНБРАУ 0,33 БУТ"/>
        <s v="МИЛЛЕР БИР 0,33 БУТ"/>
        <s v="МИЛЛЕР МАГНУМ 0,33 БУТ"/>
        <s v="МИЛЛЕР МАГНУМ 0,47 БАН"/>
        <s v="МОНАСТЫРСКАЯ ИЗБА"/>
        <s v="НАВИГАТОР РЕТ 2,0"/>
        <s v="САНГРИЯ 1,5Л"/>
        <s v="соус салатный"/>
        <s v="соус томатный"/>
        <s v="соус чесночный"/>
        <s v="ТУТТИ-ФРУТТИ"/>
        <s v="ХВАНЧКАРА"/>
        <s v="ХОЛЬСТЕН 0,33 БУТ"/>
        <s v="ШАРПС 0,33 БУТ"/>
      </sharedItems>
    </cacheField>
    <cacheField name="К-во единиц в упаковке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Отпущено упаковок" numFmtId="0">
      <sharedItems containsSemiMixedTypes="0" containsString="0" containsNumber="1" containsInteger="1" minValue="1" maxValue="400" count="12">
        <n v="1"/>
        <n v="2"/>
        <n v="4"/>
        <n v="5"/>
        <n v="6"/>
        <n v="10"/>
        <n v="12"/>
        <n v="20"/>
        <n v="24"/>
        <n v="72"/>
        <n v="120"/>
        <n v="400"/>
      </sharedItems>
    </cacheField>
    <cacheField name="Отпущено единиц" numFmtId="0">
      <sharedItems containsSemiMixedTypes="0" containsString="0" containsNumber="1" containsInteger="1" minValue="1" maxValue="800" count="27">
        <n v="1"/>
        <n v="2"/>
        <n v="3"/>
        <n v="4"/>
        <n v="5"/>
        <n v="6"/>
        <n v="7"/>
        <n v="8"/>
        <n v="9"/>
        <n v="10"/>
        <n v="12"/>
        <n v="14"/>
        <n v="16"/>
        <n v="18"/>
        <n v="20"/>
        <n v="24"/>
        <n v="30"/>
        <n v="40"/>
        <n v="45"/>
        <n v="50"/>
        <n v="60"/>
        <n v="108"/>
        <n v="120"/>
        <n v="140"/>
        <n v="480"/>
        <n v="504"/>
        <n v="800"/>
      </sharedItems>
    </cacheField>
    <cacheField name="Цена за единицу" numFmtId="0">
      <sharedItems containsSemiMixedTypes="0" containsString="0" containsNumber="1" minValue="1.1" maxValue="20.8" count="24">
        <n v="1.1"/>
        <n v="4.2"/>
        <n v="4.5"/>
        <n v="4.7"/>
        <n v="4.8"/>
        <n v="4.9"/>
        <n v="5.3"/>
        <n v="5.4"/>
        <n v="5.5"/>
        <n v="5.6"/>
        <n v="5.9"/>
        <n v="6.2"/>
        <n v="6.4"/>
        <n v="6.5"/>
        <n v="7.2"/>
        <n v="8.7"/>
        <n v="10.3"/>
        <n v="10.5"/>
        <n v="11.5"/>
        <n v="12"/>
        <n v="12.5"/>
        <n v="17.7"/>
        <n v="20.5"/>
        <n v="20.8"/>
      </sharedItems>
    </cacheField>
    <cacheField name="Сумма" numFmtId="0">
      <sharedItems containsSemiMixedTypes="0" containsString="0" containsNumber="1" minValue="4.7" maxValue="10332" count="56">
        <n v="4.7"/>
        <n v="4.8"/>
        <n v="8.4"/>
        <n v="9"/>
        <n v="10.6"/>
        <n v="11"/>
        <n v="12.4"/>
        <n v="12.6"/>
        <n v="14.1"/>
        <n v="16.5"/>
        <n v="21"/>
        <n v="21.2"/>
        <n v="25.2"/>
        <n v="26.5"/>
        <n v="27.5"/>
        <n v="28.2"/>
        <n v="31"/>
        <n v="31.8"/>
        <n v="33.6"/>
        <n v="37.1"/>
        <n v="37.8"/>
        <n v="38.5"/>
        <n v="41.6"/>
        <n v="43.5"/>
        <n v="47.7"/>
        <n v="49.6"/>
        <n v="50.4"/>
        <n v="56.4"/>
        <n v="63"/>
        <n v="72"/>
        <n v="75.2"/>
        <n v="77"/>
        <n v="84.8"/>
        <n v="88.2"/>
        <n v="94"/>
        <n v="110"/>
        <n v="112.8"/>
        <n v="118"/>
        <n v="129.6"/>
        <n v="138"/>
        <n v="153.6"/>
        <n v="156"/>
        <n v="159"/>
        <n v="168"/>
        <n v="188"/>
        <n v="235"/>
        <n v="238.5"/>
        <n v="270"/>
        <n v="412"/>
        <n v="658"/>
        <n v="750"/>
        <n v="880"/>
        <n v="1440"/>
        <n v="1911.6"/>
        <n v="6000"/>
        <n v="10332"/>
      </sharedItems>
    </cacheField>
    <cacheField name="Товарная группа" numFmtId="0">
      <sharedItems containsSemiMixedTypes="0" containsString="0" containsNumber="1" containsInteger="1" minValue="1" maxValue="5" count="3">
        <n v="1"/>
        <n v="4"/>
        <n v="5"/>
      </sharedItems>
    </cacheField>
    <cacheField name="Покупатель" numFmtId="0">
      <sharedItems count="13">
        <s v="бавария"/>
        <s v="ЕНИСЕЙ"/>
        <s v="кальмар-2"/>
        <s v="М-Н &quot;гроза&quot;"/>
        <s v="М-Н &quot;столица&quot;"/>
        <s v="ОБЩЕПИТ"/>
        <s v="ОСЕННИЙ САД"/>
        <s v="Р-Н ТУРИСТ"/>
        <s v="ТД &quot;лена&quot;"/>
        <s v="ТД ГЛАВСНАБ"/>
        <s v="ТОО &quot;фунт&quot;"/>
        <s v="универсам"/>
        <s v="ЦЕНТР ОБСЛУЖИВАНИЯ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">
  <r>
    <x v="37"/>
    <x v="0"/>
    <x v="0"/>
    <x v="0"/>
    <x v="2"/>
    <x v="0"/>
    <x v="5"/>
    <x v="0"/>
    <x v="5"/>
    <x v="21"/>
    <x v="0"/>
    <x v="0"/>
    <x v="21"/>
    <x v="0"/>
    <x v="24"/>
    <x v="87"/>
    <x v="3"/>
  </r>
  <r>
    <x v="53"/>
    <x v="1"/>
    <x v="1"/>
    <x v="0"/>
    <x v="2"/>
    <x v="0"/>
    <x v="5"/>
    <x v="38"/>
    <x v="57"/>
    <x v="27"/>
    <x v="0"/>
    <x v="0"/>
    <x v="27"/>
    <x v="0"/>
    <x v="19"/>
    <x v="48"/>
    <x v="6"/>
  </r>
  <r>
    <x v="73"/>
    <x v="5"/>
    <x v="3"/>
    <x v="0"/>
    <x v="2"/>
    <x v="0"/>
    <x v="5"/>
    <x v="1"/>
    <x v="10"/>
    <x v="48"/>
    <x v="0"/>
    <x v="0"/>
    <x v="48"/>
    <x v="0"/>
    <x v="18"/>
    <x v="0"/>
    <x v="2"/>
  </r>
  <r>
    <x v="83"/>
    <x v="9"/>
    <x v="7"/>
    <x v="0"/>
    <x v="2"/>
    <x v="0"/>
    <x v="5"/>
    <x v="43"/>
    <x v="62"/>
    <x v="18"/>
    <x v="0"/>
    <x v="0"/>
    <x v="18"/>
    <x v="0"/>
    <x v="19"/>
    <x v="82"/>
    <x v="6"/>
  </r>
  <r>
    <x v="106"/>
    <x v="2"/>
    <x v="10"/>
    <x v="0"/>
    <x v="2"/>
    <x v="0"/>
    <x v="5"/>
    <x v="27"/>
    <x v="47"/>
    <x v="36"/>
    <x v="0"/>
    <x v="0"/>
    <x v="36"/>
    <x v="0"/>
    <x v="31"/>
    <x v="80"/>
    <x v="7"/>
  </r>
  <r>
    <x v="94"/>
    <x v="10"/>
    <x v="8"/>
    <x v="1"/>
    <x v="2"/>
    <x v="0"/>
    <x v="5"/>
    <x v="42"/>
    <x v="61"/>
    <x v="5"/>
    <x v="0"/>
    <x v="0"/>
    <x v="5"/>
    <x v="0"/>
    <x v="6"/>
    <x v="77"/>
    <x v="8"/>
  </r>
  <r>
    <x v="84"/>
    <x v="9"/>
    <x v="7"/>
    <x v="2"/>
    <x v="2"/>
    <x v="2"/>
    <x v="5"/>
    <x v="29"/>
    <x v="49"/>
    <x v="42"/>
    <x v="0"/>
    <x v="0"/>
    <x v="42"/>
    <x v="0"/>
    <x v="33"/>
    <x v="50"/>
    <x v="6"/>
  </r>
  <r>
    <x v="98"/>
    <x v="10"/>
    <x v="8"/>
    <x v="2"/>
    <x v="2"/>
    <x v="2"/>
    <x v="5"/>
    <x v="31"/>
    <x v="52"/>
    <x v="45"/>
    <x v="0"/>
    <x v="0"/>
    <x v="45"/>
    <x v="0"/>
    <x v="35"/>
    <x v="37"/>
    <x v="8"/>
  </r>
  <r>
    <x v="38"/>
    <x v="0"/>
    <x v="0"/>
    <x v="3"/>
    <x v="2"/>
    <x v="2"/>
    <x v="5"/>
    <x v="24"/>
    <x v="46"/>
    <x v="40"/>
    <x v="0"/>
    <x v="0"/>
    <x v="40"/>
    <x v="0"/>
    <x v="22"/>
    <x v="14"/>
    <x v="3"/>
  </r>
  <r>
    <x v="54"/>
    <x v="1"/>
    <x v="1"/>
    <x v="3"/>
    <x v="2"/>
    <x v="2"/>
    <x v="5"/>
    <x v="44"/>
    <x v="63"/>
    <x v="41"/>
    <x v="0"/>
    <x v="0"/>
    <x v="41"/>
    <x v="0"/>
    <x v="32"/>
    <x v="47"/>
    <x v="6"/>
  </r>
  <r>
    <x v="74"/>
    <x v="5"/>
    <x v="3"/>
    <x v="3"/>
    <x v="2"/>
    <x v="2"/>
    <x v="5"/>
    <x v="32"/>
    <x v="53"/>
    <x v="59"/>
    <x v="0"/>
    <x v="0"/>
    <x v="59"/>
    <x v="0"/>
    <x v="30"/>
    <x v="0"/>
    <x v="2"/>
  </r>
  <r>
    <x v="39"/>
    <x v="0"/>
    <x v="0"/>
    <x v="4"/>
    <x v="2"/>
    <x v="2"/>
    <x v="4"/>
    <x v="9"/>
    <x v="28"/>
    <x v="60"/>
    <x v="0"/>
    <x v="0"/>
    <x v="60"/>
    <x v="0"/>
    <x v="48"/>
    <x v="34"/>
    <x v="3"/>
  </r>
  <r>
    <x v="55"/>
    <x v="1"/>
    <x v="1"/>
    <x v="4"/>
    <x v="2"/>
    <x v="2"/>
    <x v="4"/>
    <x v="27"/>
    <x v="45"/>
    <x v="61"/>
    <x v="0"/>
    <x v="0"/>
    <x v="61"/>
    <x v="0"/>
    <x v="50"/>
    <x v="48"/>
    <x v="6"/>
  </r>
  <r>
    <x v="75"/>
    <x v="5"/>
    <x v="3"/>
    <x v="4"/>
    <x v="2"/>
    <x v="2"/>
    <x v="4"/>
    <x v="31"/>
    <x v="47"/>
    <x v="69"/>
    <x v="0"/>
    <x v="0"/>
    <x v="69"/>
    <x v="0"/>
    <x v="49"/>
    <x v="0"/>
    <x v="2"/>
  </r>
  <r>
    <x v="99"/>
    <x v="10"/>
    <x v="8"/>
    <x v="4"/>
    <x v="2"/>
    <x v="2"/>
    <x v="4"/>
    <x v="37"/>
    <x v="51"/>
    <x v="63"/>
    <x v="0"/>
    <x v="0"/>
    <x v="63"/>
    <x v="0"/>
    <x v="51"/>
    <x v="39"/>
    <x v="8"/>
  </r>
  <r>
    <x v="95"/>
    <x v="10"/>
    <x v="8"/>
    <x v="5"/>
    <x v="2"/>
    <x v="2"/>
    <x v="5"/>
    <x v="39"/>
    <x v="58"/>
    <x v="26"/>
    <x v="0"/>
    <x v="0"/>
    <x v="26"/>
    <x v="0"/>
    <x v="20"/>
    <x v="76"/>
    <x v="8"/>
  </r>
  <r>
    <x v="56"/>
    <x v="1"/>
    <x v="1"/>
    <x v="6"/>
    <x v="2"/>
    <x v="0"/>
    <x v="5"/>
    <x v="46"/>
    <x v="66"/>
    <x v="8"/>
    <x v="0"/>
    <x v="0"/>
    <x v="8"/>
    <x v="0"/>
    <x v="8"/>
    <x v="60"/>
    <x v="6"/>
  </r>
  <r>
    <x v="57"/>
    <x v="1"/>
    <x v="1"/>
    <x v="7"/>
    <x v="2"/>
    <x v="0"/>
    <x v="5"/>
    <x v="38"/>
    <x v="57"/>
    <x v="44"/>
    <x v="0"/>
    <x v="0"/>
    <x v="44"/>
    <x v="0"/>
    <x v="28"/>
    <x v="17"/>
    <x v="6"/>
  </r>
  <r>
    <x v="85"/>
    <x v="9"/>
    <x v="7"/>
    <x v="7"/>
    <x v="2"/>
    <x v="0"/>
    <x v="5"/>
    <x v="43"/>
    <x v="62"/>
    <x v="38"/>
    <x v="0"/>
    <x v="0"/>
    <x v="38"/>
    <x v="0"/>
    <x v="28"/>
    <x v="40"/>
    <x v="6"/>
  </r>
  <r>
    <x v="100"/>
    <x v="10"/>
    <x v="8"/>
    <x v="7"/>
    <x v="2"/>
    <x v="2"/>
    <x v="5"/>
    <x v="38"/>
    <x v="57"/>
    <x v="39"/>
    <x v="0"/>
    <x v="0"/>
    <x v="39"/>
    <x v="0"/>
    <x v="29"/>
    <x v="44"/>
    <x v="8"/>
  </r>
  <r>
    <x v="40"/>
    <x v="0"/>
    <x v="0"/>
    <x v="8"/>
    <x v="2"/>
    <x v="2"/>
    <x v="5"/>
    <x v="40"/>
    <x v="60"/>
    <x v="31"/>
    <x v="0"/>
    <x v="0"/>
    <x v="31"/>
    <x v="0"/>
    <x v="27"/>
    <x v="78"/>
    <x v="3"/>
  </r>
  <r>
    <x v="96"/>
    <x v="10"/>
    <x v="8"/>
    <x v="8"/>
    <x v="2"/>
    <x v="2"/>
    <x v="5"/>
    <x v="28"/>
    <x v="48"/>
    <x v="50"/>
    <x v="0"/>
    <x v="0"/>
    <x v="50"/>
    <x v="0"/>
    <x v="30"/>
    <x v="13"/>
    <x v="8"/>
  </r>
  <r>
    <x v="107"/>
    <x v="2"/>
    <x v="10"/>
    <x v="9"/>
    <x v="2"/>
    <x v="2"/>
    <x v="5"/>
    <x v="21"/>
    <x v="40"/>
    <x v="40"/>
    <x v="0"/>
    <x v="0"/>
    <x v="40"/>
    <x v="0"/>
    <x v="36"/>
    <x v="83"/>
    <x v="7"/>
  </r>
  <r>
    <x v="81"/>
    <x v="8"/>
    <x v="6"/>
    <x v="10"/>
    <x v="3"/>
    <x v="2"/>
    <x v="3"/>
    <x v="45"/>
    <x v="50"/>
    <x v="28"/>
    <x v="0"/>
    <x v="0"/>
    <x v="28"/>
    <x v="0"/>
    <x v="14"/>
    <x v="15"/>
    <x v="9"/>
  </r>
  <r>
    <x v="110"/>
    <x v="3"/>
    <x v="11"/>
    <x v="11"/>
    <x v="2"/>
    <x v="2"/>
    <x v="5"/>
    <x v="4"/>
    <x v="22"/>
    <x v="64"/>
    <x v="0"/>
    <x v="0"/>
    <x v="64"/>
    <x v="0"/>
    <x v="53"/>
    <x v="84"/>
    <x v="5"/>
  </r>
  <r>
    <x v="41"/>
    <x v="0"/>
    <x v="0"/>
    <x v="12"/>
    <x v="2"/>
    <x v="2"/>
    <x v="5"/>
    <x v="21"/>
    <x v="40"/>
    <x v="34"/>
    <x v="0"/>
    <x v="0"/>
    <x v="34"/>
    <x v="0"/>
    <x v="27"/>
    <x v="72"/>
    <x v="3"/>
  </r>
  <r>
    <x v="58"/>
    <x v="1"/>
    <x v="1"/>
    <x v="12"/>
    <x v="2"/>
    <x v="2"/>
    <x v="5"/>
    <x v="34"/>
    <x v="54"/>
    <x v="37"/>
    <x v="0"/>
    <x v="0"/>
    <x v="37"/>
    <x v="0"/>
    <x v="28"/>
    <x v="48"/>
    <x v="6"/>
  </r>
  <r>
    <x v="76"/>
    <x v="5"/>
    <x v="3"/>
    <x v="12"/>
    <x v="2"/>
    <x v="2"/>
    <x v="5"/>
    <x v="1"/>
    <x v="10"/>
    <x v="37"/>
    <x v="0"/>
    <x v="0"/>
    <x v="37"/>
    <x v="0"/>
    <x v="27"/>
    <x v="38"/>
    <x v="2"/>
  </r>
  <r>
    <x v="86"/>
    <x v="9"/>
    <x v="7"/>
    <x v="12"/>
    <x v="2"/>
    <x v="2"/>
    <x v="5"/>
    <x v="34"/>
    <x v="54"/>
    <x v="35"/>
    <x v="0"/>
    <x v="0"/>
    <x v="35"/>
    <x v="0"/>
    <x v="28"/>
    <x v="71"/>
    <x v="6"/>
  </r>
  <r>
    <x v="42"/>
    <x v="0"/>
    <x v="0"/>
    <x v="13"/>
    <x v="2"/>
    <x v="2"/>
    <x v="4"/>
    <x v="4"/>
    <x v="20"/>
    <x v="74"/>
    <x v="0"/>
    <x v="0"/>
    <x v="74"/>
    <x v="0"/>
    <x v="62"/>
    <x v="63"/>
    <x v="3"/>
  </r>
  <r>
    <x v="87"/>
    <x v="9"/>
    <x v="7"/>
    <x v="13"/>
    <x v="2"/>
    <x v="2"/>
    <x v="4"/>
    <x v="22"/>
    <x v="40"/>
    <x v="84"/>
    <x v="0"/>
    <x v="0"/>
    <x v="84"/>
    <x v="0"/>
    <x v="67"/>
    <x v="35"/>
    <x v="6"/>
  </r>
  <r>
    <x v="43"/>
    <x v="0"/>
    <x v="0"/>
    <x v="14"/>
    <x v="2"/>
    <x v="2"/>
    <x v="4"/>
    <x v="1"/>
    <x v="9"/>
    <x v="74"/>
    <x v="0"/>
    <x v="0"/>
    <x v="74"/>
    <x v="0"/>
    <x v="62"/>
    <x v="63"/>
    <x v="3"/>
  </r>
  <r>
    <x v="88"/>
    <x v="9"/>
    <x v="7"/>
    <x v="14"/>
    <x v="2"/>
    <x v="2"/>
    <x v="4"/>
    <x v="22"/>
    <x v="40"/>
    <x v="84"/>
    <x v="0"/>
    <x v="0"/>
    <x v="84"/>
    <x v="0"/>
    <x v="67"/>
    <x v="35"/>
    <x v="6"/>
  </r>
  <r>
    <x v="59"/>
    <x v="1"/>
    <x v="1"/>
    <x v="15"/>
    <x v="2"/>
    <x v="0"/>
    <x v="5"/>
    <x v="18"/>
    <x v="38"/>
    <x v="17"/>
    <x v="0"/>
    <x v="0"/>
    <x v="17"/>
    <x v="0"/>
    <x v="15"/>
    <x v="58"/>
    <x v="6"/>
  </r>
  <r>
    <x v="89"/>
    <x v="9"/>
    <x v="7"/>
    <x v="16"/>
    <x v="2"/>
    <x v="1"/>
    <x v="1"/>
    <x v="3"/>
    <x v="2"/>
    <x v="71"/>
    <x v="0"/>
    <x v="0"/>
    <x v="71"/>
    <x v="0"/>
    <x v="58"/>
    <x v="57"/>
    <x v="6"/>
  </r>
  <r>
    <x v="60"/>
    <x v="1"/>
    <x v="1"/>
    <x v="17"/>
    <x v="2"/>
    <x v="2"/>
    <x v="5"/>
    <x v="43"/>
    <x v="62"/>
    <x v="15"/>
    <x v="0"/>
    <x v="0"/>
    <x v="15"/>
    <x v="0"/>
    <x v="13"/>
    <x v="66"/>
    <x v="6"/>
  </r>
  <r>
    <x v="0"/>
    <x v="0"/>
    <x v="0"/>
    <x v="18"/>
    <x v="3"/>
    <x v="4"/>
    <x v="0"/>
    <x v="59"/>
    <x v="55"/>
    <x v="1"/>
    <x v="0"/>
    <x v="0"/>
    <x v="1"/>
    <x v="0"/>
    <x v="1"/>
    <x v="85"/>
    <x v="3"/>
  </r>
  <r>
    <x v="1"/>
    <x v="0"/>
    <x v="0"/>
    <x v="19"/>
    <x v="3"/>
    <x v="4"/>
    <x v="0"/>
    <x v="61"/>
    <x v="69"/>
    <x v="0"/>
    <x v="0"/>
    <x v="0"/>
    <x v="0"/>
    <x v="0"/>
    <x v="0"/>
    <x v="27"/>
    <x v="3"/>
  </r>
  <r>
    <x v="2"/>
    <x v="0"/>
    <x v="0"/>
    <x v="20"/>
    <x v="1"/>
    <x v="4"/>
    <x v="0"/>
    <x v="21"/>
    <x v="11"/>
    <x v="28"/>
    <x v="0"/>
    <x v="0"/>
    <x v="28"/>
    <x v="0"/>
    <x v="16"/>
    <x v="30"/>
    <x v="3"/>
  </r>
  <r>
    <x v="3"/>
    <x v="0"/>
    <x v="0"/>
    <x v="21"/>
    <x v="0"/>
    <x v="2"/>
    <x v="0"/>
    <x v="20"/>
    <x v="10"/>
    <x v="81"/>
    <x v="0"/>
    <x v="0"/>
    <x v="81"/>
    <x v="0"/>
    <x v="64"/>
    <x v="31"/>
    <x v="3"/>
  </r>
  <r>
    <x v="4"/>
    <x v="0"/>
    <x v="0"/>
    <x v="22"/>
    <x v="0"/>
    <x v="2"/>
    <x v="0"/>
    <x v="55"/>
    <x v="31"/>
    <x v="82"/>
    <x v="0"/>
    <x v="0"/>
    <x v="82"/>
    <x v="0"/>
    <x v="66"/>
    <x v="56"/>
    <x v="3"/>
  </r>
  <r>
    <x v="5"/>
    <x v="0"/>
    <x v="0"/>
    <x v="23"/>
    <x v="1"/>
    <x v="4"/>
    <x v="0"/>
    <x v="11"/>
    <x v="5"/>
    <x v="83"/>
    <x v="0"/>
    <x v="0"/>
    <x v="83"/>
    <x v="0"/>
    <x v="68"/>
    <x v="46"/>
    <x v="3"/>
  </r>
  <r>
    <x v="24"/>
    <x v="0"/>
    <x v="0"/>
    <x v="24"/>
    <x v="3"/>
    <x v="0"/>
    <x v="0"/>
    <x v="49"/>
    <x v="25"/>
    <x v="86"/>
    <x v="0"/>
    <x v="0"/>
    <x v="86"/>
    <x v="0"/>
    <x v="70"/>
    <x v="29"/>
    <x v="3"/>
  </r>
  <r>
    <x v="44"/>
    <x v="0"/>
    <x v="0"/>
    <x v="25"/>
    <x v="2"/>
    <x v="2"/>
    <x v="5"/>
    <x v="4"/>
    <x v="22"/>
    <x v="46"/>
    <x v="0"/>
    <x v="0"/>
    <x v="46"/>
    <x v="0"/>
    <x v="34"/>
    <x v="21"/>
    <x v="3"/>
  </r>
  <r>
    <x v="70"/>
    <x v="4"/>
    <x v="2"/>
    <x v="25"/>
    <x v="2"/>
    <x v="2"/>
    <x v="5"/>
    <x v="3"/>
    <x v="16"/>
    <x v="58"/>
    <x v="0"/>
    <x v="0"/>
    <x v="58"/>
    <x v="0"/>
    <x v="37"/>
    <x v="8"/>
    <x v="4"/>
  </r>
  <r>
    <x v="61"/>
    <x v="1"/>
    <x v="1"/>
    <x v="26"/>
    <x v="2"/>
    <x v="2"/>
    <x v="5"/>
    <x v="18"/>
    <x v="38"/>
    <x v="47"/>
    <x v="0"/>
    <x v="0"/>
    <x v="47"/>
    <x v="0"/>
    <x v="37"/>
    <x v="62"/>
    <x v="6"/>
  </r>
  <r>
    <x v="90"/>
    <x v="9"/>
    <x v="7"/>
    <x v="26"/>
    <x v="2"/>
    <x v="2"/>
    <x v="5"/>
    <x v="18"/>
    <x v="38"/>
    <x v="49"/>
    <x v="0"/>
    <x v="0"/>
    <x v="49"/>
    <x v="0"/>
    <x v="38"/>
    <x v="69"/>
    <x v="6"/>
  </r>
  <r>
    <x v="25"/>
    <x v="0"/>
    <x v="0"/>
    <x v="27"/>
    <x v="3"/>
    <x v="4"/>
    <x v="3"/>
    <x v="1"/>
    <x v="5"/>
    <x v="59"/>
    <x v="0"/>
    <x v="0"/>
    <x v="59"/>
    <x v="0"/>
    <x v="45"/>
    <x v="19"/>
    <x v="3"/>
  </r>
  <r>
    <x v="6"/>
    <x v="0"/>
    <x v="0"/>
    <x v="28"/>
    <x v="3"/>
    <x v="4"/>
    <x v="0"/>
    <x v="16"/>
    <x v="8"/>
    <x v="68"/>
    <x v="0"/>
    <x v="0"/>
    <x v="68"/>
    <x v="0"/>
    <x v="43"/>
    <x v="0"/>
    <x v="3"/>
  </r>
  <r>
    <x v="26"/>
    <x v="0"/>
    <x v="0"/>
    <x v="29"/>
    <x v="3"/>
    <x v="4"/>
    <x v="2"/>
    <x v="18"/>
    <x v="22"/>
    <x v="80"/>
    <x v="0"/>
    <x v="0"/>
    <x v="80"/>
    <x v="0"/>
    <x v="63"/>
    <x v="18"/>
    <x v="3"/>
  </r>
  <r>
    <x v="27"/>
    <x v="0"/>
    <x v="0"/>
    <x v="30"/>
    <x v="3"/>
    <x v="4"/>
    <x v="0"/>
    <x v="36"/>
    <x v="15"/>
    <x v="43"/>
    <x v="0"/>
    <x v="0"/>
    <x v="43"/>
    <x v="0"/>
    <x v="45"/>
    <x v="90"/>
    <x v="3"/>
  </r>
  <r>
    <x v="28"/>
    <x v="0"/>
    <x v="0"/>
    <x v="31"/>
    <x v="3"/>
    <x v="4"/>
    <x v="0"/>
    <x v="14"/>
    <x v="6"/>
    <x v="6"/>
    <x v="0"/>
    <x v="0"/>
    <x v="6"/>
    <x v="0"/>
    <x v="5"/>
    <x v="23"/>
    <x v="3"/>
  </r>
  <r>
    <x v="45"/>
    <x v="0"/>
    <x v="0"/>
    <x v="32"/>
    <x v="2"/>
    <x v="2"/>
    <x v="5"/>
    <x v="8"/>
    <x v="30"/>
    <x v="51"/>
    <x v="0"/>
    <x v="0"/>
    <x v="51"/>
    <x v="0"/>
    <x v="39"/>
    <x v="68"/>
    <x v="3"/>
  </r>
  <r>
    <x v="62"/>
    <x v="1"/>
    <x v="1"/>
    <x v="32"/>
    <x v="2"/>
    <x v="2"/>
    <x v="5"/>
    <x v="18"/>
    <x v="38"/>
    <x v="52"/>
    <x v="0"/>
    <x v="0"/>
    <x v="52"/>
    <x v="0"/>
    <x v="40"/>
    <x v="61"/>
    <x v="6"/>
  </r>
  <r>
    <x v="71"/>
    <x v="4"/>
    <x v="2"/>
    <x v="32"/>
    <x v="2"/>
    <x v="2"/>
    <x v="5"/>
    <x v="2"/>
    <x v="13"/>
    <x v="65"/>
    <x v="0"/>
    <x v="0"/>
    <x v="65"/>
    <x v="0"/>
    <x v="40"/>
    <x v="2"/>
    <x v="4"/>
  </r>
  <r>
    <x v="46"/>
    <x v="0"/>
    <x v="0"/>
    <x v="33"/>
    <x v="2"/>
    <x v="2"/>
    <x v="5"/>
    <x v="1"/>
    <x v="10"/>
    <x v="53"/>
    <x v="0"/>
    <x v="0"/>
    <x v="53"/>
    <x v="0"/>
    <x v="42"/>
    <x v="70"/>
    <x v="3"/>
  </r>
  <r>
    <x v="63"/>
    <x v="1"/>
    <x v="1"/>
    <x v="33"/>
    <x v="2"/>
    <x v="2"/>
    <x v="5"/>
    <x v="18"/>
    <x v="38"/>
    <x v="54"/>
    <x v="0"/>
    <x v="0"/>
    <x v="54"/>
    <x v="0"/>
    <x v="44"/>
    <x v="53"/>
    <x v="6"/>
  </r>
  <r>
    <x v="72"/>
    <x v="4"/>
    <x v="2"/>
    <x v="33"/>
    <x v="2"/>
    <x v="2"/>
    <x v="5"/>
    <x v="2"/>
    <x v="13"/>
    <x v="66"/>
    <x v="0"/>
    <x v="0"/>
    <x v="66"/>
    <x v="0"/>
    <x v="44"/>
    <x v="3"/>
    <x v="4"/>
  </r>
  <r>
    <x v="91"/>
    <x v="9"/>
    <x v="7"/>
    <x v="33"/>
    <x v="2"/>
    <x v="2"/>
    <x v="5"/>
    <x v="23"/>
    <x v="44"/>
    <x v="55"/>
    <x v="0"/>
    <x v="0"/>
    <x v="55"/>
    <x v="0"/>
    <x v="45"/>
    <x v="45"/>
    <x v="6"/>
  </r>
  <r>
    <x v="47"/>
    <x v="0"/>
    <x v="0"/>
    <x v="34"/>
    <x v="2"/>
    <x v="0"/>
    <x v="5"/>
    <x v="8"/>
    <x v="30"/>
    <x v="24"/>
    <x v="0"/>
    <x v="0"/>
    <x v="24"/>
    <x v="0"/>
    <x v="21"/>
    <x v="79"/>
    <x v="3"/>
  </r>
  <r>
    <x v="48"/>
    <x v="0"/>
    <x v="0"/>
    <x v="35"/>
    <x v="2"/>
    <x v="2"/>
    <x v="5"/>
    <x v="13"/>
    <x v="36"/>
    <x v="12"/>
    <x v="0"/>
    <x v="0"/>
    <x v="12"/>
    <x v="0"/>
    <x v="10"/>
    <x v="73"/>
    <x v="3"/>
  </r>
  <r>
    <x v="64"/>
    <x v="1"/>
    <x v="1"/>
    <x v="35"/>
    <x v="2"/>
    <x v="2"/>
    <x v="5"/>
    <x v="47"/>
    <x v="68"/>
    <x v="13"/>
    <x v="0"/>
    <x v="0"/>
    <x v="13"/>
    <x v="0"/>
    <x v="11"/>
    <x v="59"/>
    <x v="6"/>
  </r>
  <r>
    <x v="77"/>
    <x v="5"/>
    <x v="3"/>
    <x v="35"/>
    <x v="2"/>
    <x v="2"/>
    <x v="5"/>
    <x v="2"/>
    <x v="13"/>
    <x v="33"/>
    <x v="0"/>
    <x v="0"/>
    <x v="33"/>
    <x v="0"/>
    <x v="10"/>
    <x v="0"/>
    <x v="2"/>
  </r>
  <r>
    <x v="49"/>
    <x v="0"/>
    <x v="0"/>
    <x v="36"/>
    <x v="2"/>
    <x v="0"/>
    <x v="5"/>
    <x v="2"/>
    <x v="13"/>
    <x v="12"/>
    <x v="0"/>
    <x v="0"/>
    <x v="12"/>
    <x v="0"/>
    <x v="10"/>
    <x v="73"/>
    <x v="3"/>
  </r>
  <r>
    <x v="65"/>
    <x v="1"/>
    <x v="1"/>
    <x v="36"/>
    <x v="2"/>
    <x v="0"/>
    <x v="5"/>
    <x v="38"/>
    <x v="57"/>
    <x v="13"/>
    <x v="0"/>
    <x v="0"/>
    <x v="13"/>
    <x v="0"/>
    <x v="11"/>
    <x v="59"/>
    <x v="6"/>
  </r>
  <r>
    <x v="92"/>
    <x v="9"/>
    <x v="7"/>
    <x v="36"/>
    <x v="2"/>
    <x v="0"/>
    <x v="5"/>
    <x v="38"/>
    <x v="57"/>
    <x v="14"/>
    <x v="0"/>
    <x v="0"/>
    <x v="14"/>
    <x v="0"/>
    <x v="12"/>
    <x v="48"/>
    <x v="6"/>
  </r>
  <r>
    <x v="101"/>
    <x v="10"/>
    <x v="8"/>
    <x v="37"/>
    <x v="2"/>
    <x v="2"/>
    <x v="5"/>
    <x v="18"/>
    <x v="38"/>
    <x v="31"/>
    <x v="0"/>
    <x v="0"/>
    <x v="31"/>
    <x v="0"/>
    <x v="26"/>
    <x v="74"/>
    <x v="8"/>
  </r>
  <r>
    <x v="102"/>
    <x v="10"/>
    <x v="8"/>
    <x v="38"/>
    <x v="2"/>
    <x v="0"/>
    <x v="3"/>
    <x v="27"/>
    <x v="40"/>
    <x v="73"/>
    <x v="0"/>
    <x v="0"/>
    <x v="73"/>
    <x v="0"/>
    <x v="59"/>
    <x v="51"/>
    <x v="8"/>
  </r>
  <r>
    <x v="7"/>
    <x v="0"/>
    <x v="0"/>
    <x v="39"/>
    <x v="0"/>
    <x v="2"/>
    <x v="3"/>
    <x v="8"/>
    <x v="22"/>
    <x v="10"/>
    <x v="0"/>
    <x v="0"/>
    <x v="10"/>
    <x v="0"/>
    <x v="7"/>
    <x v="4"/>
    <x v="3"/>
  </r>
  <r>
    <x v="82"/>
    <x v="8"/>
    <x v="6"/>
    <x v="39"/>
    <x v="3"/>
    <x v="2"/>
    <x v="3"/>
    <x v="54"/>
    <x v="64"/>
    <x v="11"/>
    <x v="0"/>
    <x v="0"/>
    <x v="11"/>
    <x v="0"/>
    <x v="14"/>
    <x v="86"/>
    <x v="9"/>
  </r>
  <r>
    <x v="8"/>
    <x v="0"/>
    <x v="0"/>
    <x v="40"/>
    <x v="0"/>
    <x v="2"/>
    <x v="0"/>
    <x v="11"/>
    <x v="5"/>
    <x v="75"/>
    <x v="0"/>
    <x v="0"/>
    <x v="75"/>
    <x v="0"/>
    <x v="61"/>
    <x v="20"/>
    <x v="3"/>
  </r>
  <r>
    <x v="66"/>
    <x v="1"/>
    <x v="1"/>
    <x v="41"/>
    <x v="2"/>
    <x v="0"/>
    <x v="5"/>
    <x v="13"/>
    <x v="36"/>
    <x v="24"/>
    <x v="0"/>
    <x v="0"/>
    <x v="24"/>
    <x v="0"/>
    <x v="18"/>
    <x v="65"/>
    <x v="6"/>
  </r>
  <r>
    <x v="67"/>
    <x v="1"/>
    <x v="1"/>
    <x v="42"/>
    <x v="2"/>
    <x v="2"/>
    <x v="2"/>
    <x v="27"/>
    <x v="35"/>
    <x v="88"/>
    <x v="0"/>
    <x v="0"/>
    <x v="88"/>
    <x v="0"/>
    <x v="73"/>
    <x v="49"/>
    <x v="6"/>
  </r>
  <r>
    <x v="29"/>
    <x v="0"/>
    <x v="0"/>
    <x v="43"/>
    <x v="1"/>
    <x v="4"/>
    <x v="0"/>
    <x v="60"/>
    <x v="65"/>
    <x v="3"/>
    <x v="0"/>
    <x v="0"/>
    <x v="3"/>
    <x v="0"/>
    <x v="3"/>
    <x v="25"/>
    <x v="3"/>
  </r>
  <r>
    <x v="79"/>
    <x v="7"/>
    <x v="5"/>
    <x v="44"/>
    <x v="3"/>
    <x v="2"/>
    <x v="0"/>
    <x v="57"/>
    <x v="33"/>
    <x v="43"/>
    <x v="0"/>
    <x v="0"/>
    <x v="43"/>
    <x v="0"/>
    <x v="14"/>
    <x v="0"/>
    <x v="4"/>
  </r>
  <r>
    <x v="9"/>
    <x v="0"/>
    <x v="0"/>
    <x v="45"/>
    <x v="1"/>
    <x v="4"/>
    <x v="0"/>
    <x v="50"/>
    <x v="26"/>
    <x v="57"/>
    <x v="0"/>
    <x v="0"/>
    <x v="57"/>
    <x v="0"/>
    <x v="45"/>
    <x v="26"/>
    <x v="3"/>
  </r>
  <r>
    <x v="10"/>
    <x v="0"/>
    <x v="0"/>
    <x v="46"/>
    <x v="0"/>
    <x v="2"/>
    <x v="0"/>
    <x v="48"/>
    <x v="23"/>
    <x v="87"/>
    <x v="0"/>
    <x v="0"/>
    <x v="87"/>
    <x v="0"/>
    <x v="71"/>
    <x v="16"/>
    <x v="3"/>
  </r>
  <r>
    <x v="11"/>
    <x v="0"/>
    <x v="0"/>
    <x v="47"/>
    <x v="0"/>
    <x v="2"/>
    <x v="0"/>
    <x v="15"/>
    <x v="7"/>
    <x v="85"/>
    <x v="0"/>
    <x v="0"/>
    <x v="85"/>
    <x v="0"/>
    <x v="69"/>
    <x v="54"/>
    <x v="3"/>
  </r>
  <r>
    <x v="114"/>
    <x v="3"/>
    <x v="12"/>
    <x v="48"/>
    <x v="0"/>
    <x v="3"/>
    <x v="3"/>
    <x v="35"/>
    <x v="42"/>
    <x v="32"/>
    <x v="0"/>
    <x v="0"/>
    <x v="32"/>
    <x v="0"/>
    <x v="22"/>
    <x v="24"/>
    <x v="5"/>
  </r>
  <r>
    <x v="111"/>
    <x v="3"/>
    <x v="11"/>
    <x v="49"/>
    <x v="0"/>
    <x v="3"/>
    <x v="3"/>
    <x v="17"/>
    <x v="29"/>
    <x v="32"/>
    <x v="0"/>
    <x v="0"/>
    <x v="32"/>
    <x v="0"/>
    <x v="25"/>
    <x v="55"/>
    <x v="5"/>
  </r>
  <r>
    <x v="112"/>
    <x v="3"/>
    <x v="11"/>
    <x v="50"/>
    <x v="0"/>
    <x v="3"/>
    <x v="3"/>
    <x v="51"/>
    <x v="59"/>
    <x v="32"/>
    <x v="0"/>
    <x v="0"/>
    <x v="32"/>
    <x v="0"/>
    <x v="25"/>
    <x v="55"/>
    <x v="5"/>
  </r>
  <r>
    <x v="113"/>
    <x v="3"/>
    <x v="11"/>
    <x v="51"/>
    <x v="0"/>
    <x v="3"/>
    <x v="3"/>
    <x v="43"/>
    <x v="47"/>
    <x v="32"/>
    <x v="0"/>
    <x v="0"/>
    <x v="32"/>
    <x v="0"/>
    <x v="25"/>
    <x v="55"/>
    <x v="5"/>
  </r>
  <r>
    <x v="103"/>
    <x v="11"/>
    <x v="9"/>
    <x v="52"/>
    <x v="0"/>
    <x v="3"/>
    <x v="3"/>
    <x v="30"/>
    <x v="41"/>
    <x v="28"/>
    <x v="0"/>
    <x v="0"/>
    <x v="28"/>
    <x v="0"/>
    <x v="13"/>
    <x v="9"/>
    <x v="0"/>
  </r>
  <r>
    <x v="104"/>
    <x v="11"/>
    <x v="9"/>
    <x v="53"/>
    <x v="0"/>
    <x v="3"/>
    <x v="3"/>
    <x v="39"/>
    <x v="43"/>
    <x v="28"/>
    <x v="0"/>
    <x v="0"/>
    <x v="28"/>
    <x v="0"/>
    <x v="13"/>
    <x v="9"/>
    <x v="0"/>
  </r>
  <r>
    <x v="105"/>
    <x v="11"/>
    <x v="9"/>
    <x v="54"/>
    <x v="0"/>
    <x v="3"/>
    <x v="3"/>
    <x v="10"/>
    <x v="24"/>
    <x v="28"/>
    <x v="0"/>
    <x v="0"/>
    <x v="28"/>
    <x v="0"/>
    <x v="13"/>
    <x v="9"/>
    <x v="0"/>
  </r>
  <r>
    <x v="12"/>
    <x v="0"/>
    <x v="0"/>
    <x v="55"/>
    <x v="3"/>
    <x v="4"/>
    <x v="0"/>
    <x v="4"/>
    <x v="1"/>
    <x v="76"/>
    <x v="0"/>
    <x v="0"/>
    <x v="76"/>
    <x v="0"/>
    <x v="55"/>
    <x v="1"/>
    <x v="3"/>
  </r>
  <r>
    <x v="13"/>
    <x v="0"/>
    <x v="0"/>
    <x v="56"/>
    <x v="3"/>
    <x v="4"/>
    <x v="0"/>
    <x v="2"/>
    <x v="0"/>
    <x v="72"/>
    <x v="0"/>
    <x v="0"/>
    <x v="72"/>
    <x v="0"/>
    <x v="57"/>
    <x v="12"/>
    <x v="3"/>
  </r>
  <r>
    <x v="14"/>
    <x v="0"/>
    <x v="0"/>
    <x v="57"/>
    <x v="3"/>
    <x v="4"/>
    <x v="0"/>
    <x v="5"/>
    <x v="2"/>
    <x v="79"/>
    <x v="0"/>
    <x v="0"/>
    <x v="79"/>
    <x v="0"/>
    <x v="60"/>
    <x v="10"/>
    <x v="3"/>
  </r>
  <r>
    <x v="15"/>
    <x v="0"/>
    <x v="0"/>
    <x v="58"/>
    <x v="3"/>
    <x v="4"/>
    <x v="0"/>
    <x v="7"/>
    <x v="4"/>
    <x v="78"/>
    <x v="0"/>
    <x v="0"/>
    <x v="78"/>
    <x v="0"/>
    <x v="60"/>
    <x v="11"/>
    <x v="3"/>
  </r>
  <r>
    <x v="30"/>
    <x v="0"/>
    <x v="0"/>
    <x v="59"/>
    <x v="3"/>
    <x v="4"/>
    <x v="3"/>
    <x v="13"/>
    <x v="27"/>
    <x v="66"/>
    <x v="0"/>
    <x v="0"/>
    <x v="66"/>
    <x v="0"/>
    <x v="52"/>
    <x v="19"/>
    <x v="3"/>
  </r>
  <r>
    <x v="31"/>
    <x v="0"/>
    <x v="0"/>
    <x v="60"/>
    <x v="3"/>
    <x v="4"/>
    <x v="3"/>
    <x v="6"/>
    <x v="19"/>
    <x v="62"/>
    <x v="0"/>
    <x v="0"/>
    <x v="62"/>
    <x v="0"/>
    <x v="47"/>
    <x v="22"/>
    <x v="3"/>
  </r>
  <r>
    <x v="16"/>
    <x v="0"/>
    <x v="0"/>
    <x v="61"/>
    <x v="3"/>
    <x v="4"/>
    <x v="0"/>
    <x v="25"/>
    <x v="12"/>
    <x v="67"/>
    <x v="0"/>
    <x v="0"/>
    <x v="67"/>
    <x v="0"/>
    <x v="46"/>
    <x v="5"/>
    <x v="3"/>
  </r>
  <r>
    <x v="17"/>
    <x v="0"/>
    <x v="0"/>
    <x v="62"/>
    <x v="3"/>
    <x v="4"/>
    <x v="5"/>
    <x v="11"/>
    <x v="34"/>
    <x v="68"/>
    <x v="0"/>
    <x v="0"/>
    <x v="68"/>
    <x v="0"/>
    <x v="43"/>
    <x v="0"/>
    <x v="3"/>
  </r>
  <r>
    <x v="32"/>
    <x v="0"/>
    <x v="0"/>
    <x v="62"/>
    <x v="3"/>
    <x v="4"/>
    <x v="5"/>
    <x v="37"/>
    <x v="56"/>
    <x v="56"/>
    <x v="0"/>
    <x v="0"/>
    <x v="56"/>
    <x v="0"/>
    <x v="41"/>
    <x v="28"/>
    <x v="3"/>
  </r>
  <r>
    <x v="33"/>
    <x v="0"/>
    <x v="0"/>
    <x v="63"/>
    <x v="3"/>
    <x v="4"/>
    <x v="2"/>
    <x v="17"/>
    <x v="21"/>
    <x v="70"/>
    <x v="0"/>
    <x v="0"/>
    <x v="70"/>
    <x v="0"/>
    <x v="54"/>
    <x v="33"/>
    <x v="3"/>
  </r>
  <r>
    <x v="34"/>
    <x v="0"/>
    <x v="0"/>
    <x v="64"/>
    <x v="3"/>
    <x v="4"/>
    <x v="2"/>
    <x v="12"/>
    <x v="17"/>
    <x v="70"/>
    <x v="0"/>
    <x v="0"/>
    <x v="70"/>
    <x v="0"/>
    <x v="54"/>
    <x v="33"/>
    <x v="3"/>
  </r>
  <r>
    <x v="18"/>
    <x v="0"/>
    <x v="0"/>
    <x v="65"/>
    <x v="3"/>
    <x v="4"/>
    <x v="0"/>
    <x v="6"/>
    <x v="3"/>
    <x v="77"/>
    <x v="0"/>
    <x v="0"/>
    <x v="77"/>
    <x v="0"/>
    <x v="56"/>
    <x v="0"/>
    <x v="3"/>
  </r>
  <r>
    <x v="19"/>
    <x v="0"/>
    <x v="0"/>
    <x v="66"/>
    <x v="0"/>
    <x v="2"/>
    <x v="0"/>
    <x v="57"/>
    <x v="33"/>
    <x v="89"/>
    <x v="0"/>
    <x v="0"/>
    <x v="89"/>
    <x v="0"/>
    <x v="72"/>
    <x v="7"/>
    <x v="3"/>
  </r>
  <r>
    <x v="80"/>
    <x v="7"/>
    <x v="5"/>
    <x v="67"/>
    <x v="3"/>
    <x v="2"/>
    <x v="0"/>
    <x v="56"/>
    <x v="32"/>
    <x v="43"/>
    <x v="0"/>
    <x v="0"/>
    <x v="43"/>
    <x v="0"/>
    <x v="14"/>
    <x v="0"/>
    <x v="4"/>
  </r>
  <r>
    <x v="50"/>
    <x v="0"/>
    <x v="0"/>
    <x v="68"/>
    <x v="2"/>
    <x v="2"/>
    <x v="5"/>
    <x v="1"/>
    <x v="10"/>
    <x v="30"/>
    <x v="0"/>
    <x v="0"/>
    <x v="30"/>
    <x v="0"/>
    <x v="23"/>
    <x v="64"/>
    <x v="3"/>
  </r>
  <r>
    <x v="68"/>
    <x v="1"/>
    <x v="1"/>
    <x v="68"/>
    <x v="2"/>
    <x v="2"/>
    <x v="5"/>
    <x v="20"/>
    <x v="39"/>
    <x v="29"/>
    <x v="0"/>
    <x v="0"/>
    <x v="29"/>
    <x v="0"/>
    <x v="22"/>
    <x v="75"/>
    <x v="6"/>
  </r>
  <r>
    <x v="20"/>
    <x v="0"/>
    <x v="0"/>
    <x v="69"/>
    <x v="0"/>
    <x v="2"/>
    <x v="0"/>
    <x v="58"/>
    <x v="37"/>
    <x v="82"/>
    <x v="0"/>
    <x v="0"/>
    <x v="82"/>
    <x v="0"/>
    <x v="65"/>
    <x v="32"/>
    <x v="3"/>
  </r>
  <r>
    <x v="78"/>
    <x v="6"/>
    <x v="4"/>
    <x v="69"/>
    <x v="0"/>
    <x v="2"/>
    <x v="0"/>
    <x v="41"/>
    <x v="18"/>
    <x v="82"/>
    <x v="0"/>
    <x v="0"/>
    <x v="82"/>
    <x v="0"/>
    <x v="65"/>
    <x v="32"/>
    <x v="1"/>
  </r>
  <r>
    <x v="21"/>
    <x v="0"/>
    <x v="0"/>
    <x v="70"/>
    <x v="3"/>
    <x v="4"/>
    <x v="0"/>
    <x v="26"/>
    <x v="13"/>
    <x v="67"/>
    <x v="0"/>
    <x v="0"/>
    <x v="67"/>
    <x v="0"/>
    <x v="48"/>
    <x v="6"/>
    <x v="3"/>
  </r>
  <r>
    <x v="51"/>
    <x v="0"/>
    <x v="0"/>
    <x v="71"/>
    <x v="2"/>
    <x v="2"/>
    <x v="5"/>
    <x v="39"/>
    <x v="58"/>
    <x v="22"/>
    <x v="0"/>
    <x v="0"/>
    <x v="22"/>
    <x v="0"/>
    <x v="16"/>
    <x v="42"/>
    <x v="3"/>
  </r>
  <r>
    <x v="69"/>
    <x v="1"/>
    <x v="1"/>
    <x v="71"/>
    <x v="2"/>
    <x v="2"/>
    <x v="5"/>
    <x v="47"/>
    <x v="68"/>
    <x v="24"/>
    <x v="0"/>
    <x v="0"/>
    <x v="24"/>
    <x v="0"/>
    <x v="17"/>
    <x v="52"/>
    <x v="6"/>
  </r>
  <r>
    <x v="93"/>
    <x v="9"/>
    <x v="7"/>
    <x v="71"/>
    <x v="2"/>
    <x v="2"/>
    <x v="5"/>
    <x v="34"/>
    <x v="54"/>
    <x v="25"/>
    <x v="0"/>
    <x v="0"/>
    <x v="25"/>
    <x v="0"/>
    <x v="18"/>
    <x v="43"/>
    <x v="6"/>
  </r>
  <r>
    <x v="108"/>
    <x v="2"/>
    <x v="10"/>
    <x v="71"/>
    <x v="2"/>
    <x v="2"/>
    <x v="5"/>
    <x v="52"/>
    <x v="71"/>
    <x v="23"/>
    <x v="0"/>
    <x v="0"/>
    <x v="23"/>
    <x v="0"/>
    <x v="29"/>
    <x v="89"/>
    <x v="7"/>
  </r>
  <r>
    <x v="97"/>
    <x v="10"/>
    <x v="8"/>
    <x v="72"/>
    <x v="2"/>
    <x v="2"/>
    <x v="5"/>
    <x v="53"/>
    <x v="72"/>
    <x v="9"/>
    <x v="0"/>
    <x v="0"/>
    <x v="9"/>
    <x v="0"/>
    <x v="9"/>
    <x v="81"/>
    <x v="8"/>
  </r>
  <r>
    <x v="109"/>
    <x v="2"/>
    <x v="10"/>
    <x v="73"/>
    <x v="2"/>
    <x v="0"/>
    <x v="5"/>
    <x v="27"/>
    <x v="47"/>
    <x v="19"/>
    <x v="0"/>
    <x v="0"/>
    <x v="19"/>
    <x v="0"/>
    <x v="24"/>
    <x v="88"/>
    <x v="7"/>
  </r>
  <r>
    <x v="35"/>
    <x v="0"/>
    <x v="0"/>
    <x v="74"/>
    <x v="3"/>
    <x v="4"/>
    <x v="6"/>
    <x v="13"/>
    <x v="67"/>
    <x v="2"/>
    <x v="0"/>
    <x v="0"/>
    <x v="2"/>
    <x v="0"/>
    <x v="2"/>
    <x v="91"/>
    <x v="3"/>
  </r>
  <r>
    <x v="36"/>
    <x v="0"/>
    <x v="0"/>
    <x v="75"/>
    <x v="3"/>
    <x v="4"/>
    <x v="6"/>
    <x v="19"/>
    <x v="70"/>
    <x v="7"/>
    <x v="0"/>
    <x v="0"/>
    <x v="7"/>
    <x v="0"/>
    <x v="6"/>
    <x v="36"/>
    <x v="3"/>
  </r>
  <r>
    <x v="22"/>
    <x v="0"/>
    <x v="0"/>
    <x v="76"/>
    <x v="3"/>
    <x v="4"/>
    <x v="0"/>
    <x v="33"/>
    <x v="14"/>
    <x v="20"/>
    <x v="0"/>
    <x v="0"/>
    <x v="20"/>
    <x v="0"/>
    <x v="14"/>
    <x v="27"/>
    <x v="3"/>
  </r>
  <r>
    <x v="52"/>
    <x v="0"/>
    <x v="0"/>
    <x v="77"/>
    <x v="2"/>
    <x v="2"/>
    <x v="5"/>
    <x v="3"/>
    <x v="16"/>
    <x v="16"/>
    <x v="0"/>
    <x v="0"/>
    <x v="16"/>
    <x v="0"/>
    <x v="14"/>
    <x v="41"/>
    <x v="3"/>
  </r>
  <r>
    <x v="23"/>
    <x v="0"/>
    <x v="0"/>
    <x v="78"/>
    <x v="1"/>
    <x v="4"/>
    <x v="0"/>
    <x v="38"/>
    <x v="16"/>
    <x v="4"/>
    <x v="0"/>
    <x v="0"/>
    <x v="4"/>
    <x v="0"/>
    <x v="4"/>
    <x v="67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5">
  <r>
    <x v="36"/>
    <x v="2"/>
    <x v="8"/>
    <x v="0"/>
    <x v="0"/>
    <x v="0"/>
    <x v="0"/>
    <x v="4"/>
    <x v="1"/>
    <x v="1"/>
    <x v="7"/>
  </r>
  <r>
    <x v="56"/>
    <x v="3"/>
    <x v="12"/>
    <x v="0"/>
    <x v="2"/>
    <x v="4"/>
    <x v="13"/>
    <x v="5"/>
    <x v="33"/>
    <x v="1"/>
    <x v="1"/>
  </r>
  <r>
    <x v="1"/>
    <x v="0"/>
    <x v="0"/>
    <x v="1"/>
    <x v="1"/>
    <x v="5"/>
    <x v="14"/>
    <x v="8"/>
    <x v="35"/>
    <x v="1"/>
    <x v="11"/>
  </r>
  <r>
    <x v="6"/>
    <x v="0"/>
    <x v="1"/>
    <x v="1"/>
    <x v="6"/>
    <x v="1"/>
    <x v="11"/>
    <x v="8"/>
    <x v="31"/>
    <x v="1"/>
    <x v="4"/>
  </r>
  <r>
    <x v="12"/>
    <x v="0"/>
    <x v="3"/>
    <x v="1"/>
    <x v="4"/>
    <x v="0"/>
    <x v="4"/>
    <x v="8"/>
    <x v="14"/>
    <x v="1"/>
    <x v="3"/>
  </r>
  <r>
    <x v="18"/>
    <x v="1"/>
    <x v="4"/>
    <x v="1"/>
    <x v="2"/>
    <x v="0"/>
    <x v="2"/>
    <x v="8"/>
    <x v="9"/>
    <x v="1"/>
    <x v="5"/>
  </r>
  <r>
    <x v="23"/>
    <x v="1"/>
    <x v="5"/>
    <x v="1"/>
    <x v="6"/>
    <x v="0"/>
    <x v="6"/>
    <x v="8"/>
    <x v="21"/>
    <x v="1"/>
    <x v="9"/>
  </r>
  <r>
    <x v="28"/>
    <x v="1"/>
    <x v="6"/>
    <x v="1"/>
    <x v="3"/>
    <x v="3"/>
    <x v="14"/>
    <x v="8"/>
    <x v="35"/>
    <x v="1"/>
    <x v="0"/>
  </r>
  <r>
    <x v="45"/>
    <x v="2"/>
    <x v="10"/>
    <x v="1"/>
    <x v="1"/>
    <x v="0"/>
    <x v="1"/>
    <x v="8"/>
    <x v="5"/>
    <x v="1"/>
    <x v="9"/>
  </r>
  <r>
    <x v="57"/>
    <x v="3"/>
    <x v="12"/>
    <x v="1"/>
    <x v="0"/>
    <x v="4"/>
    <x v="5"/>
    <x v="9"/>
    <x v="18"/>
    <x v="1"/>
    <x v="1"/>
  </r>
  <r>
    <x v="27"/>
    <x v="1"/>
    <x v="6"/>
    <x v="2"/>
    <x v="2"/>
    <x v="4"/>
    <x v="13"/>
    <x v="14"/>
    <x v="38"/>
    <x v="1"/>
    <x v="0"/>
  </r>
  <r>
    <x v="35"/>
    <x v="2"/>
    <x v="8"/>
    <x v="2"/>
    <x v="4"/>
    <x v="1"/>
    <x v="9"/>
    <x v="14"/>
    <x v="29"/>
    <x v="1"/>
    <x v="7"/>
  </r>
  <r>
    <x v="58"/>
    <x v="3"/>
    <x v="12"/>
    <x v="3"/>
    <x v="4"/>
    <x v="5"/>
    <x v="19"/>
    <x v="7"/>
    <x v="47"/>
    <x v="1"/>
    <x v="1"/>
  </r>
  <r>
    <x v="2"/>
    <x v="0"/>
    <x v="0"/>
    <x v="4"/>
    <x v="2"/>
    <x v="5"/>
    <x v="16"/>
    <x v="6"/>
    <x v="42"/>
    <x v="1"/>
    <x v="11"/>
  </r>
  <r>
    <x v="7"/>
    <x v="0"/>
    <x v="1"/>
    <x v="4"/>
    <x v="7"/>
    <x v="1"/>
    <x v="12"/>
    <x v="6"/>
    <x v="32"/>
    <x v="1"/>
    <x v="4"/>
  </r>
  <r>
    <x v="13"/>
    <x v="0"/>
    <x v="3"/>
    <x v="4"/>
    <x v="5"/>
    <x v="0"/>
    <x v="5"/>
    <x v="6"/>
    <x v="17"/>
    <x v="1"/>
    <x v="3"/>
  </r>
  <r>
    <x v="19"/>
    <x v="1"/>
    <x v="4"/>
    <x v="4"/>
    <x v="3"/>
    <x v="0"/>
    <x v="3"/>
    <x v="6"/>
    <x v="11"/>
    <x v="1"/>
    <x v="5"/>
  </r>
  <r>
    <x v="24"/>
    <x v="1"/>
    <x v="5"/>
    <x v="4"/>
    <x v="0"/>
    <x v="1"/>
    <x v="1"/>
    <x v="6"/>
    <x v="4"/>
    <x v="1"/>
    <x v="9"/>
  </r>
  <r>
    <x v="29"/>
    <x v="1"/>
    <x v="6"/>
    <x v="4"/>
    <x v="0"/>
    <x v="3"/>
    <x v="4"/>
    <x v="6"/>
    <x v="13"/>
    <x v="1"/>
    <x v="0"/>
  </r>
  <r>
    <x v="40"/>
    <x v="2"/>
    <x v="9"/>
    <x v="4"/>
    <x v="8"/>
    <x v="3"/>
    <x v="18"/>
    <x v="6"/>
    <x v="46"/>
    <x v="1"/>
    <x v="2"/>
  </r>
  <r>
    <x v="46"/>
    <x v="2"/>
    <x v="10"/>
    <x v="4"/>
    <x v="1"/>
    <x v="1"/>
    <x v="3"/>
    <x v="6"/>
    <x v="11"/>
    <x v="1"/>
    <x v="9"/>
  </r>
  <r>
    <x v="8"/>
    <x v="0"/>
    <x v="1"/>
    <x v="5"/>
    <x v="8"/>
    <x v="0"/>
    <x v="8"/>
    <x v="6"/>
    <x v="24"/>
    <x v="1"/>
    <x v="4"/>
  </r>
  <r>
    <x v="14"/>
    <x v="0"/>
    <x v="3"/>
    <x v="5"/>
    <x v="6"/>
    <x v="0"/>
    <x v="6"/>
    <x v="6"/>
    <x v="19"/>
    <x v="1"/>
    <x v="3"/>
  </r>
  <r>
    <x v="30"/>
    <x v="1"/>
    <x v="6"/>
    <x v="5"/>
    <x v="0"/>
    <x v="3"/>
    <x v="4"/>
    <x v="6"/>
    <x v="13"/>
    <x v="1"/>
    <x v="0"/>
  </r>
  <r>
    <x v="41"/>
    <x v="2"/>
    <x v="9"/>
    <x v="5"/>
    <x v="5"/>
    <x v="3"/>
    <x v="16"/>
    <x v="6"/>
    <x v="42"/>
    <x v="1"/>
    <x v="2"/>
  </r>
  <r>
    <x v="47"/>
    <x v="2"/>
    <x v="10"/>
    <x v="5"/>
    <x v="3"/>
    <x v="0"/>
    <x v="3"/>
    <x v="6"/>
    <x v="11"/>
    <x v="1"/>
    <x v="9"/>
  </r>
  <r>
    <x v="0"/>
    <x v="0"/>
    <x v="0"/>
    <x v="6"/>
    <x v="0"/>
    <x v="1"/>
    <x v="1"/>
    <x v="17"/>
    <x v="10"/>
    <x v="1"/>
    <x v="11"/>
  </r>
  <r>
    <x v="5"/>
    <x v="0"/>
    <x v="1"/>
    <x v="7"/>
    <x v="5"/>
    <x v="0"/>
    <x v="5"/>
    <x v="17"/>
    <x v="28"/>
    <x v="1"/>
    <x v="4"/>
  </r>
  <r>
    <x v="33"/>
    <x v="2"/>
    <x v="7"/>
    <x v="8"/>
    <x v="1"/>
    <x v="11"/>
    <x v="26"/>
    <x v="0"/>
    <x v="51"/>
    <x v="2"/>
    <x v="6"/>
  </r>
  <r>
    <x v="49"/>
    <x v="2"/>
    <x v="11"/>
    <x v="9"/>
    <x v="0"/>
    <x v="6"/>
    <x v="10"/>
    <x v="18"/>
    <x v="39"/>
    <x v="0"/>
    <x v="12"/>
  </r>
  <r>
    <x v="50"/>
    <x v="2"/>
    <x v="11"/>
    <x v="10"/>
    <x v="2"/>
    <x v="7"/>
    <x v="20"/>
    <x v="20"/>
    <x v="50"/>
    <x v="0"/>
    <x v="12"/>
  </r>
  <r>
    <x v="54"/>
    <x v="3"/>
    <x v="12"/>
    <x v="10"/>
    <x v="3"/>
    <x v="10"/>
    <x v="24"/>
    <x v="20"/>
    <x v="54"/>
    <x v="0"/>
    <x v="1"/>
  </r>
  <r>
    <x v="42"/>
    <x v="2"/>
    <x v="9"/>
    <x v="11"/>
    <x v="4"/>
    <x v="2"/>
    <x v="14"/>
    <x v="10"/>
    <x v="37"/>
    <x v="1"/>
    <x v="2"/>
  </r>
  <r>
    <x v="9"/>
    <x v="0"/>
    <x v="1"/>
    <x v="12"/>
    <x v="1"/>
    <x v="0"/>
    <x v="1"/>
    <x v="11"/>
    <x v="6"/>
    <x v="1"/>
    <x v="4"/>
  </r>
  <r>
    <x v="15"/>
    <x v="0"/>
    <x v="3"/>
    <x v="12"/>
    <x v="7"/>
    <x v="0"/>
    <x v="7"/>
    <x v="11"/>
    <x v="25"/>
    <x v="1"/>
    <x v="3"/>
  </r>
  <r>
    <x v="20"/>
    <x v="1"/>
    <x v="4"/>
    <x v="12"/>
    <x v="4"/>
    <x v="0"/>
    <x v="4"/>
    <x v="11"/>
    <x v="16"/>
    <x v="1"/>
    <x v="5"/>
  </r>
  <r>
    <x v="3"/>
    <x v="0"/>
    <x v="0"/>
    <x v="13"/>
    <x v="3"/>
    <x v="5"/>
    <x v="17"/>
    <x v="1"/>
    <x v="43"/>
    <x v="1"/>
    <x v="11"/>
  </r>
  <r>
    <x v="16"/>
    <x v="0"/>
    <x v="3"/>
    <x v="13"/>
    <x v="8"/>
    <x v="0"/>
    <x v="8"/>
    <x v="1"/>
    <x v="20"/>
    <x v="1"/>
    <x v="3"/>
  </r>
  <r>
    <x v="21"/>
    <x v="1"/>
    <x v="4"/>
    <x v="13"/>
    <x v="1"/>
    <x v="0"/>
    <x v="1"/>
    <x v="1"/>
    <x v="2"/>
    <x v="1"/>
    <x v="5"/>
  </r>
  <r>
    <x v="25"/>
    <x v="1"/>
    <x v="5"/>
    <x v="13"/>
    <x v="2"/>
    <x v="0"/>
    <x v="2"/>
    <x v="1"/>
    <x v="7"/>
    <x v="1"/>
    <x v="9"/>
  </r>
  <r>
    <x v="37"/>
    <x v="2"/>
    <x v="8"/>
    <x v="13"/>
    <x v="5"/>
    <x v="0"/>
    <x v="5"/>
    <x v="1"/>
    <x v="12"/>
    <x v="1"/>
    <x v="7"/>
  </r>
  <r>
    <x v="59"/>
    <x v="3"/>
    <x v="12"/>
    <x v="13"/>
    <x v="1"/>
    <x v="4"/>
    <x v="10"/>
    <x v="1"/>
    <x v="26"/>
    <x v="1"/>
    <x v="1"/>
  </r>
  <r>
    <x v="38"/>
    <x v="2"/>
    <x v="8"/>
    <x v="14"/>
    <x v="2"/>
    <x v="0"/>
    <x v="2"/>
    <x v="1"/>
    <x v="7"/>
    <x v="1"/>
    <x v="7"/>
  </r>
  <r>
    <x v="51"/>
    <x v="2"/>
    <x v="11"/>
    <x v="15"/>
    <x v="7"/>
    <x v="3"/>
    <x v="17"/>
    <x v="16"/>
    <x v="48"/>
    <x v="0"/>
    <x v="12"/>
  </r>
  <r>
    <x v="63"/>
    <x v="4"/>
    <x v="13"/>
    <x v="16"/>
    <x v="1"/>
    <x v="0"/>
    <x v="1"/>
    <x v="23"/>
    <x v="22"/>
    <x v="1"/>
    <x v="10"/>
  </r>
  <r>
    <x v="52"/>
    <x v="2"/>
    <x v="11"/>
    <x v="17"/>
    <x v="8"/>
    <x v="6"/>
    <x v="21"/>
    <x v="21"/>
    <x v="53"/>
    <x v="0"/>
    <x v="12"/>
  </r>
  <r>
    <x v="61"/>
    <x v="4"/>
    <x v="13"/>
    <x v="18"/>
    <x v="3"/>
    <x v="4"/>
    <x v="15"/>
    <x v="12"/>
    <x v="40"/>
    <x v="2"/>
    <x v="10"/>
  </r>
  <r>
    <x v="62"/>
    <x v="4"/>
    <x v="13"/>
    <x v="19"/>
    <x v="0"/>
    <x v="8"/>
    <x v="15"/>
    <x v="13"/>
    <x v="41"/>
    <x v="2"/>
    <x v="10"/>
  </r>
  <r>
    <x v="64"/>
    <x v="4"/>
    <x v="13"/>
    <x v="20"/>
    <x v="4"/>
    <x v="0"/>
    <x v="4"/>
    <x v="15"/>
    <x v="23"/>
    <x v="2"/>
    <x v="10"/>
  </r>
  <r>
    <x v="55"/>
    <x v="3"/>
    <x v="12"/>
    <x v="21"/>
    <x v="6"/>
    <x v="9"/>
    <x v="25"/>
    <x v="22"/>
    <x v="55"/>
    <x v="0"/>
    <x v="1"/>
  </r>
  <r>
    <x v="53"/>
    <x v="2"/>
    <x v="11"/>
    <x v="22"/>
    <x v="5"/>
    <x v="7"/>
    <x v="22"/>
    <x v="19"/>
    <x v="52"/>
    <x v="0"/>
    <x v="12"/>
  </r>
  <r>
    <x v="4"/>
    <x v="0"/>
    <x v="0"/>
    <x v="23"/>
    <x v="4"/>
    <x v="5"/>
    <x v="19"/>
    <x v="3"/>
    <x v="45"/>
    <x v="1"/>
    <x v="11"/>
  </r>
  <r>
    <x v="10"/>
    <x v="0"/>
    <x v="1"/>
    <x v="23"/>
    <x v="2"/>
    <x v="1"/>
    <x v="5"/>
    <x v="3"/>
    <x v="15"/>
    <x v="1"/>
    <x v="4"/>
  </r>
  <r>
    <x v="11"/>
    <x v="0"/>
    <x v="2"/>
    <x v="23"/>
    <x v="3"/>
    <x v="4"/>
    <x v="15"/>
    <x v="3"/>
    <x v="36"/>
    <x v="1"/>
    <x v="8"/>
  </r>
  <r>
    <x v="17"/>
    <x v="0"/>
    <x v="3"/>
    <x v="23"/>
    <x v="0"/>
    <x v="0"/>
    <x v="0"/>
    <x v="3"/>
    <x v="0"/>
    <x v="1"/>
    <x v="3"/>
  </r>
  <r>
    <x v="22"/>
    <x v="1"/>
    <x v="4"/>
    <x v="23"/>
    <x v="2"/>
    <x v="0"/>
    <x v="2"/>
    <x v="3"/>
    <x v="8"/>
    <x v="1"/>
    <x v="5"/>
  </r>
  <r>
    <x v="26"/>
    <x v="1"/>
    <x v="5"/>
    <x v="23"/>
    <x v="5"/>
    <x v="1"/>
    <x v="10"/>
    <x v="3"/>
    <x v="27"/>
    <x v="1"/>
    <x v="9"/>
  </r>
  <r>
    <x v="31"/>
    <x v="1"/>
    <x v="6"/>
    <x v="23"/>
    <x v="7"/>
    <x v="3"/>
    <x v="17"/>
    <x v="3"/>
    <x v="44"/>
    <x v="1"/>
    <x v="0"/>
  </r>
  <r>
    <x v="34"/>
    <x v="2"/>
    <x v="7"/>
    <x v="23"/>
    <x v="3"/>
    <x v="2"/>
    <x v="12"/>
    <x v="3"/>
    <x v="30"/>
    <x v="1"/>
    <x v="6"/>
  </r>
  <r>
    <x v="39"/>
    <x v="2"/>
    <x v="8"/>
    <x v="23"/>
    <x v="0"/>
    <x v="0"/>
    <x v="0"/>
    <x v="3"/>
    <x v="0"/>
    <x v="1"/>
    <x v="7"/>
  </r>
  <r>
    <x v="43"/>
    <x v="2"/>
    <x v="9"/>
    <x v="23"/>
    <x v="3"/>
    <x v="3"/>
    <x v="14"/>
    <x v="3"/>
    <x v="34"/>
    <x v="1"/>
    <x v="2"/>
  </r>
  <r>
    <x v="48"/>
    <x v="2"/>
    <x v="10"/>
    <x v="23"/>
    <x v="5"/>
    <x v="1"/>
    <x v="10"/>
    <x v="3"/>
    <x v="27"/>
    <x v="1"/>
    <x v="9"/>
  </r>
  <r>
    <x v="60"/>
    <x v="3"/>
    <x v="12"/>
    <x v="23"/>
    <x v="6"/>
    <x v="7"/>
    <x v="23"/>
    <x v="3"/>
    <x v="49"/>
    <x v="1"/>
    <x v="1"/>
  </r>
  <r>
    <x v="32"/>
    <x v="1"/>
    <x v="6"/>
    <x v="24"/>
    <x v="6"/>
    <x v="1"/>
    <x v="11"/>
    <x v="2"/>
    <x v="28"/>
    <x v="1"/>
    <x v="0"/>
  </r>
  <r>
    <x v="44"/>
    <x v="2"/>
    <x v="9"/>
    <x v="24"/>
    <x v="1"/>
    <x v="0"/>
    <x v="1"/>
    <x v="2"/>
    <x v="3"/>
    <x v="1"/>
    <x v="2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F82" firstHeaderRow="1" firstDataRow="2" firstDataCol="1"/>
  <pivotFields count="17">
    <pivotField showAll="0" compact="0"/>
    <pivotField showAll="0" compact="0"/>
    <pivotField showAll="0" compact="0"/>
    <pivotField axis="axisRow" showAll="0" defaultSubtotal="0" compact="0" outline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</items>
    </pivotField>
    <pivotField axis="axisCol" showAll="0" defaultSubtotal="0" compact="0" outline="0">
      <items count="4">
        <item x="0"/>
        <item x="1"/>
        <item x="2"/>
        <item x="3"/>
      </items>
    </pivotField>
    <pivotField showAll="0" compact="0"/>
    <pivotField showAll="0" compact="0"/>
    <pivotField showAll="0" compact="0"/>
    <pivotField showAll="0" compact="0"/>
    <pivotField dataField="1" showAll="0" compact="0" outline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</pivotFields>
  <rowFields count="1">
    <field x="3"/>
  </rowFields>
  <colFields count="2">
    <field x="-2"/>
    <field x="4"/>
  </colFields>
  <dataFields count="1">
    <dataField fld="9" subtotal="sum"/>
  </dataFields>
</pivotTableDefinition>
</file>

<file path=xl/pivotTables/pivotTable2.xml><?xml version="1.0" encoding="utf-8"?>
<pivotTableDefinition xmlns="http://schemas.openxmlformats.org/spreadsheetml/2006/main" name="DataPilot1" cacheId="2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B15" firstHeaderRow="1" firstDataRow="1" firstDataCol="1"/>
  <pivotFields count="11"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 outline="0"/>
    <pivotField showAll="0" compact="0"/>
    <pivotField axis="axisRow" showAll="0" defaultSubtotal="0" compact="0" outline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10"/>
  </rowFields>
  <colFields count="1">
    <field x="-2"/>
  </colFields>
  <dataFields count="1">
    <dataField fld="8" subtotal="sum"/>
  </dataFields>
</pivotTableDefinition>
</file>

<file path=xl/pivotTables/pivotTable3.xml><?xml version="1.0" encoding="utf-8"?>
<pivotTableDefinition xmlns="http://schemas.openxmlformats.org/spreadsheetml/2006/main" name="СводнаяТаблица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3:B14" firstHeaderRow="1" firstDataRow="1" firstDataCol="1"/>
  <pivotFields count="17">
    <pivotField showAll="0" compact="0" outline="0"/>
    <pivotField showAll="0" compact="0"/>
    <pivotField showAll="0" compact="0"/>
    <pivotField showAll="0" compact="0" outline="0"/>
    <pivotField showAll="0" compact="0"/>
    <pivotField showAll="0" compact="0"/>
    <pivotField showAll="0" compact="0"/>
    <pivotField showAll="0" compact="0" outline="0"/>
    <pivotField showAll="0" compact="0" outline="0"/>
    <pivotField showAll="0" compact="0" outline="0"/>
    <pivotField dataField="1" showAll="0" compact="0"/>
    <pivotField showAll="0" compact="0"/>
    <pivotField showAll="0" compact="0" outline="0"/>
    <pivotField showAll="0" compact="0" outline="0"/>
    <pivotField showAll="0" compact="0" outline="0"/>
    <pivotField showAll="0" compact="0" outline="0"/>
    <pivotField axis="axisRow" showAll="0" compact="0" outline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6"/>
  </rowFields>
  <dataFields count="1">
    <dataField fld="10" subtotal="sum"/>
  </dataFields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pivotTable" Target="../pivotTables/pivotTable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ivotTable" Target="../pivotTables/pivotTable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B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RowHeight="15" zeroHeight="false" outlineLevelRow="0" outlineLevelCol="0"/>
  <cols>
    <col collapsed="false" customWidth="true" hidden="false" outlineLevel="0" max="1" min="1" style="0" width="35.01"/>
    <col collapsed="false" customWidth="true" hidden="false" outlineLevel="0" max="2" min="2" style="0" width="9.99"/>
    <col collapsed="false" customWidth="true" hidden="false" outlineLevel="0" max="1025" min="3" style="0" width="8.99"/>
  </cols>
  <sheetData>
    <row r="3" customFormat="false" ht="15" hidden="false" customHeight="false" outlineLevel="0" collapsed="false">
      <c r="A3" s="1" t="s">
        <v>0</v>
      </c>
      <c r="B3" s="2" t="s">
        <v>1</v>
      </c>
    </row>
    <row r="4" customFormat="false" ht="15" hidden="false" customHeight="false" outlineLevel="0" collapsed="false">
      <c r="A4" s="3" t="s">
        <v>2</v>
      </c>
      <c r="B4" s="4"/>
    </row>
    <row r="5" customFormat="false" ht="15" hidden="false" customHeight="false" outlineLevel="0" collapsed="false">
      <c r="A5" s="5" t="s">
        <v>3</v>
      </c>
      <c r="B5" s="6"/>
    </row>
    <row r="6" customFormat="false" ht="15" hidden="false" customHeight="false" outlineLevel="0" collapsed="false">
      <c r="A6" s="5" t="s">
        <v>4</v>
      </c>
      <c r="B6" s="6"/>
    </row>
    <row r="7" customFormat="false" ht="15" hidden="false" customHeight="false" outlineLevel="0" collapsed="false">
      <c r="A7" s="5" t="s">
        <v>5</v>
      </c>
      <c r="B7" s="6"/>
    </row>
    <row r="8" customFormat="false" ht="15" hidden="false" customHeight="false" outlineLevel="0" collapsed="false">
      <c r="A8" s="5" t="s">
        <v>6</v>
      </c>
      <c r="B8" s="6"/>
    </row>
    <row r="9" customFormat="false" ht="15" hidden="false" customHeight="false" outlineLevel="0" collapsed="false">
      <c r="A9" s="5" t="s">
        <v>7</v>
      </c>
      <c r="B9" s="6"/>
    </row>
    <row r="10" customFormat="false" ht="15" hidden="false" customHeight="false" outlineLevel="0" collapsed="false">
      <c r="A10" s="5" t="s">
        <v>8</v>
      </c>
      <c r="B10" s="6"/>
    </row>
    <row r="11" customFormat="false" ht="15" hidden="false" customHeight="false" outlineLevel="0" collapsed="false">
      <c r="A11" s="5" t="s">
        <v>9</v>
      </c>
      <c r="B11" s="6"/>
    </row>
    <row r="12" customFormat="false" ht="15" hidden="false" customHeight="false" outlineLevel="0" collapsed="false">
      <c r="A12" s="5" t="s">
        <v>10</v>
      </c>
      <c r="B12" s="6"/>
    </row>
    <row r="13" customFormat="false" ht="15" hidden="false" customHeight="false" outlineLevel="0" collapsed="false">
      <c r="A13" s="5" t="s">
        <v>11</v>
      </c>
      <c r="B13" s="7"/>
    </row>
    <row r="14" customFormat="false" ht="15" hidden="false" customHeight="false" outlineLevel="0" collapsed="false">
      <c r="A14" s="8" t="s">
        <v>12</v>
      </c>
      <c r="B14" s="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W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8" activeCellId="0" sqref="K8"/>
    </sheetView>
  </sheetViews>
  <sheetFormatPr defaultRowHeight="15" zeroHeight="false" outlineLevelRow="0" outlineLevelCol="0"/>
  <cols>
    <col collapsed="false" customWidth="true" hidden="false" outlineLevel="0" max="1" min="1" style="0" width="10.13"/>
    <col collapsed="false" customWidth="true" hidden="false" outlineLevel="0" max="2" min="2" style="0" width="22"/>
    <col collapsed="false" customWidth="true" hidden="false" outlineLevel="0" max="3" min="3" style="0" width="10.14"/>
    <col collapsed="false" customWidth="true" hidden="false" outlineLevel="0" max="4" min="4" style="0" width="35.57"/>
    <col collapsed="false" customWidth="true" hidden="false" outlineLevel="0" max="5" min="5" style="0" width="11.01"/>
    <col collapsed="false" customWidth="true" hidden="false" outlineLevel="0" max="6" min="6" style="0" width="12.71"/>
    <col collapsed="false" customWidth="true" hidden="false" outlineLevel="0" max="7" min="7" style="0" width="15.88"/>
    <col collapsed="false" customWidth="true" hidden="false" outlineLevel="0" max="8" min="8" style="0" width="13.16"/>
    <col collapsed="false" customWidth="true" hidden="false" outlineLevel="0" max="9" min="9" style="0" width="9.99"/>
    <col collapsed="false" customWidth="true" hidden="false" outlineLevel="0" max="10" min="10" style="0" width="11.28"/>
    <col collapsed="false" customWidth="true" hidden="false" outlineLevel="0" max="11" min="11" style="0" width="12.57"/>
    <col collapsed="false" customWidth="true" hidden="false" outlineLevel="0" max="12" min="12" style="10" width="14.01"/>
    <col collapsed="false" customWidth="true" hidden="false" outlineLevel="0" max="13" min="13" style="11" width="13.71"/>
    <col collapsed="false" customWidth="true" hidden="false" outlineLevel="0" max="14" min="14" style="11" width="15.01"/>
    <col collapsed="false" customWidth="true" hidden="false" outlineLevel="0" max="15" min="15" style="0" width="14.71"/>
    <col collapsed="false" customWidth="true" hidden="false" outlineLevel="0" max="16" min="16" style="0" width="12.14"/>
    <col collapsed="false" customWidth="true" hidden="false" outlineLevel="0" max="17" min="17" style="0" width="17.71"/>
    <col collapsed="false" customWidth="true" hidden="false" outlineLevel="0" max="19" min="18" style="0" width="8.99"/>
    <col collapsed="false" customWidth="true" hidden="false" outlineLevel="0" max="20" min="20" style="0" width="38.12"/>
    <col collapsed="false" customWidth="true" hidden="false" outlineLevel="0" max="21" min="21" style="0" width="13.16"/>
    <col collapsed="false" customWidth="true" hidden="false" outlineLevel="0" max="22" min="22" style="0" width="8.99"/>
    <col collapsed="false" customWidth="true" hidden="false" outlineLevel="0" max="23" min="23" style="0" width="42.81"/>
    <col collapsed="false" customWidth="true" hidden="false" outlineLevel="0" max="1025" min="24" style="0" width="8.99"/>
  </cols>
  <sheetData>
    <row r="2" customFormat="false" ht="52.2" hidden="false" customHeight="false" outlineLevel="0" collapsed="false">
      <c r="A2" s="12" t="s">
        <v>13</v>
      </c>
      <c r="B2" s="12" t="s">
        <v>14</v>
      </c>
      <c r="C2" s="12" t="s">
        <v>15</v>
      </c>
      <c r="D2" s="12" t="s">
        <v>16</v>
      </c>
      <c r="E2" s="13" t="s">
        <v>17</v>
      </c>
      <c r="F2" s="13" t="s">
        <v>18</v>
      </c>
      <c r="G2" s="13" t="s">
        <v>19</v>
      </c>
      <c r="H2" s="13" t="s">
        <v>20</v>
      </c>
      <c r="I2" s="13" t="s">
        <v>21</v>
      </c>
      <c r="J2" s="13" t="s">
        <v>22</v>
      </c>
      <c r="K2" s="13" t="s">
        <v>23</v>
      </c>
      <c r="L2" s="14" t="s">
        <v>24</v>
      </c>
      <c r="M2" s="15" t="s">
        <v>25</v>
      </c>
      <c r="N2" s="15" t="s">
        <v>26</v>
      </c>
      <c r="O2" s="13" t="s">
        <v>27</v>
      </c>
      <c r="P2" s="13" t="s">
        <v>28</v>
      </c>
      <c r="Q2" s="13" t="s">
        <v>0</v>
      </c>
      <c r="T2" s="12" t="s">
        <v>16</v>
      </c>
      <c r="U2" s="13" t="s">
        <v>19</v>
      </c>
      <c r="W2" s="12" t="s">
        <v>16</v>
      </c>
    </row>
    <row r="3" customFormat="false" ht="13.8" hidden="false" customHeight="false" outlineLevel="0" collapsed="false">
      <c r="A3" s="0" t="n">
        <v>40</v>
      </c>
      <c r="B3" s="0" t="s">
        <v>29</v>
      </c>
      <c r="C3" s="16" t="n">
        <v>40909</v>
      </c>
      <c r="D3" s="0" t="s">
        <v>30</v>
      </c>
      <c r="E3" s="0" t="n">
        <v>4</v>
      </c>
      <c r="F3" s="0" t="s">
        <v>31</v>
      </c>
      <c r="G3" s="0" t="n">
        <v>24</v>
      </c>
      <c r="H3" s="0" t="n">
        <v>0.5</v>
      </c>
      <c r="I3" s="0" t="n">
        <f aca="false">H3*G3</f>
        <v>12</v>
      </c>
      <c r="J3" s="0" t="n">
        <v>3.76</v>
      </c>
      <c r="L3" s="10" t="n">
        <v>0.18</v>
      </c>
      <c r="M3" s="11" t="n">
        <f aca="false">J3/(1+L3)</f>
        <v>3.1864406779661</v>
      </c>
      <c r="O3" s="0" t="n">
        <v>5.2</v>
      </c>
      <c r="P3" s="17" t="n">
        <f aca="false">(O3-J3)/J3</f>
        <v>0.382978723404255</v>
      </c>
      <c r="Q3" s="0" t="s">
        <v>5</v>
      </c>
      <c r="T3" s="0" t="s">
        <v>30</v>
      </c>
      <c r="U3" s="0" t="n">
        <v>24</v>
      </c>
      <c r="W3" s="0" t="s">
        <v>30</v>
      </c>
    </row>
    <row r="4" customFormat="false" ht="13.8" hidden="false" customHeight="false" outlineLevel="0" collapsed="false">
      <c r="A4" s="0" t="n">
        <v>56</v>
      </c>
      <c r="B4" s="0" t="s">
        <v>32</v>
      </c>
      <c r="C4" s="16" t="n">
        <v>40918</v>
      </c>
      <c r="D4" s="0" t="s">
        <v>30</v>
      </c>
      <c r="E4" s="0" t="n">
        <v>4</v>
      </c>
      <c r="F4" s="0" t="s">
        <v>31</v>
      </c>
      <c r="G4" s="0" t="n">
        <v>24</v>
      </c>
      <c r="H4" s="0" t="n">
        <v>72</v>
      </c>
      <c r="I4" s="0" t="n">
        <f aca="false">H4*G4</f>
        <v>1728</v>
      </c>
      <c r="J4" s="0" t="n">
        <v>3.88</v>
      </c>
      <c r="L4" s="10" t="n">
        <v>0.18</v>
      </c>
      <c r="M4" s="11" t="n">
        <f aca="false">J4/(1+L4)</f>
        <v>3.28813559322034</v>
      </c>
      <c r="O4" s="0" t="n">
        <v>4.85</v>
      </c>
      <c r="P4" s="17" t="n">
        <f aca="false">(O4-J4)/J4</f>
        <v>0.25</v>
      </c>
      <c r="Q4" s="0" t="s">
        <v>8</v>
      </c>
      <c r="T4" s="0" t="s">
        <v>30</v>
      </c>
      <c r="U4" s="0" t="n">
        <v>24</v>
      </c>
      <c r="W4" s="0" t="s">
        <v>30</v>
      </c>
    </row>
    <row r="5" customFormat="false" ht="13.8" hidden="false" customHeight="false" outlineLevel="0" collapsed="false">
      <c r="A5" s="0" t="n">
        <v>76</v>
      </c>
      <c r="B5" s="0" t="s">
        <v>33</v>
      </c>
      <c r="C5" s="16" t="n">
        <v>40924</v>
      </c>
      <c r="D5" s="0" t="s">
        <v>30</v>
      </c>
      <c r="E5" s="0" t="n">
        <v>4</v>
      </c>
      <c r="F5" s="0" t="s">
        <v>31</v>
      </c>
      <c r="G5" s="0" t="n">
        <v>24</v>
      </c>
      <c r="H5" s="0" t="n">
        <v>1</v>
      </c>
      <c r="I5" s="0" t="n">
        <f aca="false">H5*G5</f>
        <v>24</v>
      </c>
      <c r="J5" s="0" t="n">
        <v>4.8</v>
      </c>
      <c r="L5" s="10" t="n">
        <v>0.18</v>
      </c>
      <c r="M5" s="11" t="n">
        <f aca="false">J5/(1+L5)</f>
        <v>4.06779661016949</v>
      </c>
      <c r="O5" s="0" t="n">
        <v>4.8</v>
      </c>
      <c r="P5" s="17" t="n">
        <f aca="false">(O5-J5)/J5</f>
        <v>0</v>
      </c>
      <c r="Q5" s="0" t="s">
        <v>4</v>
      </c>
      <c r="T5" s="0" t="s">
        <v>30</v>
      </c>
      <c r="U5" s="0" t="n">
        <v>24</v>
      </c>
      <c r="W5" s="0" t="s">
        <v>30</v>
      </c>
    </row>
    <row r="6" customFormat="false" ht="13.8" hidden="false" customHeight="false" outlineLevel="0" collapsed="false">
      <c r="A6" s="0" t="n">
        <v>86</v>
      </c>
      <c r="B6" s="0" t="s">
        <v>34</v>
      </c>
      <c r="C6" s="16" t="n">
        <v>40937</v>
      </c>
      <c r="D6" s="0" t="s">
        <v>30</v>
      </c>
      <c r="E6" s="0" t="n">
        <v>4</v>
      </c>
      <c r="F6" s="0" t="s">
        <v>31</v>
      </c>
      <c r="G6" s="0" t="n">
        <v>24</v>
      </c>
      <c r="H6" s="0" t="n">
        <v>100</v>
      </c>
      <c r="I6" s="0" t="n">
        <f aca="false">H6*G6</f>
        <v>2400</v>
      </c>
      <c r="J6" s="0" t="n">
        <v>3.68</v>
      </c>
      <c r="L6" s="10" t="n">
        <v>0.18</v>
      </c>
      <c r="M6" s="11" t="n">
        <f aca="false">J6/(1+L6)</f>
        <v>3.11864406779661</v>
      </c>
      <c r="O6" s="0" t="n">
        <v>4.85</v>
      </c>
      <c r="P6" s="17" t="n">
        <f aca="false">(O6-J6)/J6</f>
        <v>0.317934782608695</v>
      </c>
      <c r="Q6" s="0" t="s">
        <v>8</v>
      </c>
      <c r="T6" s="0" t="s">
        <v>30</v>
      </c>
      <c r="U6" s="0" t="n">
        <v>24</v>
      </c>
      <c r="W6" s="0" t="s">
        <v>30</v>
      </c>
    </row>
    <row r="7" customFormat="false" ht="13.8" hidden="false" customHeight="false" outlineLevel="0" collapsed="false">
      <c r="A7" s="0" t="n">
        <v>109</v>
      </c>
      <c r="B7" s="0" t="s">
        <v>35</v>
      </c>
      <c r="C7" s="16" t="n">
        <v>40994</v>
      </c>
      <c r="D7" s="0" t="s">
        <v>30</v>
      </c>
      <c r="E7" s="0" t="n">
        <v>4</v>
      </c>
      <c r="F7" s="0" t="s">
        <v>31</v>
      </c>
      <c r="G7" s="0" t="n">
        <v>24</v>
      </c>
      <c r="H7" s="0" t="n">
        <v>50</v>
      </c>
      <c r="I7" s="0" t="n">
        <f aca="false">H7*G7</f>
        <v>1200</v>
      </c>
      <c r="J7" s="0" t="n">
        <v>4.26</v>
      </c>
      <c r="L7" s="10" t="n">
        <v>0.18</v>
      </c>
      <c r="M7" s="11" t="n">
        <f aca="false">J7/(1+L7)</f>
        <v>3.61016949152542</v>
      </c>
      <c r="O7" s="0" t="n">
        <v>5.55</v>
      </c>
      <c r="P7" s="17" t="n">
        <f aca="false">(O7-J7)/J7</f>
        <v>0.302816901408451</v>
      </c>
      <c r="Q7" s="0" t="s">
        <v>9</v>
      </c>
      <c r="T7" s="0" t="s">
        <v>30</v>
      </c>
      <c r="U7" s="0" t="n">
        <v>24</v>
      </c>
      <c r="W7" s="0" t="s">
        <v>30</v>
      </c>
    </row>
    <row r="8" customFormat="false" ht="13.8" hidden="false" customHeight="false" outlineLevel="0" collapsed="false">
      <c r="A8" s="0" t="n">
        <v>97</v>
      </c>
      <c r="B8" s="0" t="s">
        <v>36</v>
      </c>
      <c r="C8" s="16" t="n">
        <v>40971</v>
      </c>
      <c r="D8" s="0" t="s">
        <v>37</v>
      </c>
      <c r="E8" s="0" t="n">
        <v>4</v>
      </c>
      <c r="F8" s="0" t="s">
        <v>31</v>
      </c>
      <c r="G8" s="0" t="n">
        <v>24</v>
      </c>
      <c r="H8" s="0" t="n">
        <v>99</v>
      </c>
      <c r="I8" s="0" t="n">
        <f aca="false">H8*G8</f>
        <v>2376</v>
      </c>
      <c r="J8" s="0" t="n">
        <v>2.44</v>
      </c>
      <c r="L8" s="10" t="n">
        <v>0.18</v>
      </c>
      <c r="M8" s="11" t="n">
        <f aca="false">J8/(1+L8)</f>
        <v>2.06779661016949</v>
      </c>
      <c r="O8" s="0" t="n">
        <v>3.1</v>
      </c>
      <c r="P8" s="17" t="n">
        <f aca="false">(O8-J8)/J8</f>
        <v>0.270491803278689</v>
      </c>
      <c r="Q8" s="0" t="s">
        <v>10</v>
      </c>
      <c r="T8" s="0" t="s">
        <v>37</v>
      </c>
      <c r="U8" s="0" t="n">
        <v>24</v>
      </c>
      <c r="W8" s="0" t="s">
        <v>37</v>
      </c>
    </row>
    <row r="9" customFormat="false" ht="13.8" hidden="false" customHeight="false" outlineLevel="0" collapsed="false">
      <c r="A9" s="0" t="n">
        <v>87</v>
      </c>
      <c r="B9" s="0" t="s">
        <v>34</v>
      </c>
      <c r="C9" s="16" t="n">
        <v>40937</v>
      </c>
      <c r="D9" s="0" t="s">
        <v>38</v>
      </c>
      <c r="E9" s="0" t="n">
        <v>4</v>
      </c>
      <c r="F9" s="0" t="s">
        <v>39</v>
      </c>
      <c r="G9" s="0" t="n">
        <v>24</v>
      </c>
      <c r="H9" s="0" t="n">
        <v>54</v>
      </c>
      <c r="I9" s="0" t="n">
        <f aca="false">H9*G9</f>
        <v>1296</v>
      </c>
      <c r="J9" s="0" t="n">
        <v>4.47</v>
      </c>
      <c r="L9" s="10" t="n">
        <v>0.18</v>
      </c>
      <c r="M9" s="11" t="n">
        <f aca="false">J9/(1+L9)</f>
        <v>3.78813559322034</v>
      </c>
      <c r="O9" s="0" t="n">
        <v>5.59</v>
      </c>
      <c r="P9" s="17" t="n">
        <f aca="false">(O9-J9)/J9</f>
        <v>0.250559284116331</v>
      </c>
      <c r="Q9" s="0" t="s">
        <v>8</v>
      </c>
      <c r="T9" s="0" t="s">
        <v>38</v>
      </c>
      <c r="U9" s="0" t="n">
        <v>24</v>
      </c>
      <c r="W9" s="0" t="s">
        <v>38</v>
      </c>
    </row>
    <row r="10" customFormat="false" ht="13.8" hidden="false" customHeight="false" outlineLevel="0" collapsed="false">
      <c r="A10" s="0" t="n">
        <v>101</v>
      </c>
      <c r="B10" s="0" t="s">
        <v>36</v>
      </c>
      <c r="C10" s="16" t="n">
        <v>40971</v>
      </c>
      <c r="D10" s="0" t="s">
        <v>38</v>
      </c>
      <c r="E10" s="0" t="n">
        <v>4</v>
      </c>
      <c r="F10" s="0" t="s">
        <v>39</v>
      </c>
      <c r="G10" s="0" t="n">
        <v>24</v>
      </c>
      <c r="H10" s="0" t="n">
        <v>60</v>
      </c>
      <c r="I10" s="0" t="n">
        <f aca="false">H10*G10</f>
        <v>1440</v>
      </c>
      <c r="J10" s="0" t="n">
        <v>4.62</v>
      </c>
      <c r="L10" s="10" t="n">
        <v>0.18</v>
      </c>
      <c r="M10" s="11" t="n">
        <f aca="false">J10/(1+L10)</f>
        <v>3.91525423728814</v>
      </c>
      <c r="O10" s="0" t="n">
        <v>5.7</v>
      </c>
      <c r="P10" s="17" t="n">
        <f aca="false">(O10-J10)/J10</f>
        <v>0.233766233766234</v>
      </c>
      <c r="Q10" s="0" t="s">
        <v>10</v>
      </c>
      <c r="T10" s="0" t="s">
        <v>38</v>
      </c>
      <c r="U10" s="0" t="n">
        <v>24</v>
      </c>
      <c r="W10" s="0" t="s">
        <v>38</v>
      </c>
    </row>
    <row r="11" customFormat="false" ht="13.8" hidden="false" customHeight="false" outlineLevel="0" collapsed="false">
      <c r="A11" s="0" t="n">
        <v>41</v>
      </c>
      <c r="B11" s="0" t="s">
        <v>29</v>
      </c>
      <c r="C11" s="16" t="n">
        <v>40909</v>
      </c>
      <c r="D11" s="0" t="s">
        <v>40</v>
      </c>
      <c r="E11" s="0" t="n">
        <v>4</v>
      </c>
      <c r="F11" s="0" t="s">
        <v>39</v>
      </c>
      <c r="G11" s="0" t="n">
        <v>24</v>
      </c>
      <c r="H11" s="0" t="n">
        <v>43</v>
      </c>
      <c r="I11" s="0" t="n">
        <f aca="false">H11*G11</f>
        <v>1032</v>
      </c>
      <c r="J11" s="0" t="n">
        <v>4.38</v>
      </c>
      <c r="L11" s="10" t="n">
        <v>0.18</v>
      </c>
      <c r="M11" s="11" t="n">
        <f aca="false">J11/(1+L11)</f>
        <v>3.71186440677966</v>
      </c>
      <c r="O11" s="0" t="n">
        <v>5</v>
      </c>
      <c r="P11" s="17" t="n">
        <f aca="false">(O11-J11)/J11</f>
        <v>0.141552511415525</v>
      </c>
      <c r="Q11" s="0" t="s">
        <v>5</v>
      </c>
      <c r="T11" s="0" t="s">
        <v>40</v>
      </c>
      <c r="U11" s="0" t="n">
        <v>24</v>
      </c>
      <c r="W11" s="0" t="s">
        <v>40</v>
      </c>
    </row>
    <row r="12" customFormat="false" ht="13.8" hidden="false" customHeight="false" outlineLevel="0" collapsed="false">
      <c r="A12" s="0" t="n">
        <v>57</v>
      </c>
      <c r="B12" s="0" t="s">
        <v>32</v>
      </c>
      <c r="C12" s="16" t="n">
        <v>40918</v>
      </c>
      <c r="D12" s="0" t="s">
        <v>40</v>
      </c>
      <c r="E12" s="0" t="n">
        <v>4</v>
      </c>
      <c r="F12" s="0" t="s">
        <v>39</v>
      </c>
      <c r="G12" s="0" t="n">
        <v>24</v>
      </c>
      <c r="H12" s="0" t="n">
        <v>108</v>
      </c>
      <c r="I12" s="0" t="n">
        <f aca="false">H12*G12</f>
        <v>2592</v>
      </c>
      <c r="J12" s="0" t="n">
        <v>4.45</v>
      </c>
      <c r="L12" s="10" t="n">
        <v>0.18</v>
      </c>
      <c r="M12" s="11" t="n">
        <f aca="false">J12/(1+L12)</f>
        <v>3.77118644067797</v>
      </c>
      <c r="O12" s="0" t="n">
        <v>5.56</v>
      </c>
      <c r="P12" s="17" t="n">
        <f aca="false">(O12-J12)/J12</f>
        <v>0.249438202247191</v>
      </c>
      <c r="Q12" s="0" t="s">
        <v>8</v>
      </c>
      <c r="T12" s="0" t="s">
        <v>40</v>
      </c>
      <c r="U12" s="0" t="n">
        <v>24</v>
      </c>
      <c r="W12" s="0" t="s">
        <v>40</v>
      </c>
    </row>
    <row r="13" customFormat="false" ht="13.8" hidden="false" customHeight="false" outlineLevel="0" collapsed="false">
      <c r="A13" s="0" t="n">
        <v>77</v>
      </c>
      <c r="B13" s="0" t="s">
        <v>33</v>
      </c>
      <c r="C13" s="16" t="n">
        <v>40924</v>
      </c>
      <c r="D13" s="0" t="s">
        <v>40</v>
      </c>
      <c r="E13" s="0" t="n">
        <v>4</v>
      </c>
      <c r="F13" s="0" t="s">
        <v>39</v>
      </c>
      <c r="G13" s="0" t="n">
        <v>24</v>
      </c>
      <c r="H13" s="0" t="n">
        <v>61</v>
      </c>
      <c r="I13" s="0" t="n">
        <f aca="false">H13*G13</f>
        <v>1464</v>
      </c>
      <c r="J13" s="0" t="n">
        <v>5.5</v>
      </c>
      <c r="L13" s="10" t="n">
        <v>0.18</v>
      </c>
      <c r="M13" s="11" t="n">
        <f aca="false">J13/(1+L13)</f>
        <v>4.66101694915254</v>
      </c>
      <c r="O13" s="0" t="n">
        <v>5.5</v>
      </c>
      <c r="P13" s="17" t="n">
        <f aca="false">(O13-J13)/J13</f>
        <v>0</v>
      </c>
      <c r="Q13" s="0" t="s">
        <v>4</v>
      </c>
      <c r="T13" s="0" t="s">
        <v>40</v>
      </c>
      <c r="U13" s="0" t="n">
        <v>24</v>
      </c>
      <c r="W13" s="0" t="s">
        <v>40</v>
      </c>
    </row>
    <row r="14" customFormat="false" ht="13.8" hidden="false" customHeight="false" outlineLevel="0" collapsed="false">
      <c r="A14" s="0" t="n">
        <v>42</v>
      </c>
      <c r="B14" s="0" t="s">
        <v>29</v>
      </c>
      <c r="C14" s="16" t="n">
        <v>40909</v>
      </c>
      <c r="D14" s="0" t="s">
        <v>41</v>
      </c>
      <c r="E14" s="0" t="n">
        <v>4</v>
      </c>
      <c r="F14" s="0" t="s">
        <v>39</v>
      </c>
      <c r="G14" s="0" t="n">
        <v>20</v>
      </c>
      <c r="H14" s="0" t="n">
        <v>10.2</v>
      </c>
      <c r="I14" s="0" t="n">
        <f aca="false">H14*G14</f>
        <v>204</v>
      </c>
      <c r="J14" s="0" t="n">
        <v>5.76</v>
      </c>
      <c r="L14" s="10" t="n">
        <v>0.18</v>
      </c>
      <c r="M14" s="11" t="n">
        <f aca="false">J14/(1+L14)</f>
        <v>4.88135593220339</v>
      </c>
      <c r="O14" s="0" t="n">
        <v>7</v>
      </c>
      <c r="P14" s="17" t="n">
        <f aca="false">(O14-J14)/J14</f>
        <v>0.215277777777778</v>
      </c>
      <c r="Q14" s="0" t="s">
        <v>5</v>
      </c>
      <c r="T14" s="0" t="s">
        <v>41</v>
      </c>
      <c r="U14" s="0" t="n">
        <v>20</v>
      </c>
      <c r="W14" s="0" t="s">
        <v>41</v>
      </c>
    </row>
    <row r="15" customFormat="false" ht="13.8" hidden="false" customHeight="false" outlineLevel="0" collapsed="false">
      <c r="A15" s="0" t="n">
        <v>58</v>
      </c>
      <c r="B15" s="0" t="s">
        <v>32</v>
      </c>
      <c r="C15" s="16" t="n">
        <v>40918</v>
      </c>
      <c r="D15" s="0" t="s">
        <v>41</v>
      </c>
      <c r="E15" s="0" t="n">
        <v>4</v>
      </c>
      <c r="F15" s="0" t="s">
        <v>39</v>
      </c>
      <c r="G15" s="0" t="n">
        <v>20</v>
      </c>
      <c r="H15" s="0" t="n">
        <v>50</v>
      </c>
      <c r="I15" s="0" t="n">
        <f aca="false">H15*G15</f>
        <v>1000</v>
      </c>
      <c r="J15" s="0" t="n">
        <v>5.8</v>
      </c>
      <c r="L15" s="10" t="n">
        <v>0.18</v>
      </c>
      <c r="M15" s="11" t="n">
        <f aca="false">J15/(1+L15)</f>
        <v>4.91525423728814</v>
      </c>
      <c r="O15" s="0" t="n">
        <v>7.25</v>
      </c>
      <c r="P15" s="17" t="n">
        <f aca="false">(O15-J15)/J15</f>
        <v>0.25</v>
      </c>
      <c r="Q15" s="0" t="s">
        <v>8</v>
      </c>
      <c r="T15" s="0" t="s">
        <v>41</v>
      </c>
      <c r="U15" s="0" t="n">
        <v>20</v>
      </c>
      <c r="W15" s="0" t="s">
        <v>41</v>
      </c>
    </row>
    <row r="16" customFormat="false" ht="13.8" hidden="false" customHeight="false" outlineLevel="0" collapsed="false">
      <c r="A16" s="0" t="n">
        <v>78</v>
      </c>
      <c r="B16" s="0" t="s">
        <v>33</v>
      </c>
      <c r="C16" s="16" t="n">
        <v>40924</v>
      </c>
      <c r="D16" s="0" t="s">
        <v>41</v>
      </c>
      <c r="E16" s="0" t="n">
        <v>4</v>
      </c>
      <c r="F16" s="0" t="s">
        <v>39</v>
      </c>
      <c r="G16" s="0" t="n">
        <v>20</v>
      </c>
      <c r="H16" s="0" t="n">
        <v>60</v>
      </c>
      <c r="I16" s="0" t="n">
        <f aca="false">H16*G16</f>
        <v>1200</v>
      </c>
      <c r="J16" s="0" t="n">
        <v>7.2</v>
      </c>
      <c r="L16" s="10" t="n">
        <v>0.18</v>
      </c>
      <c r="M16" s="11" t="n">
        <f aca="false">J16/(1+L16)</f>
        <v>6.10169491525424</v>
      </c>
      <c r="O16" s="0" t="n">
        <v>7.2</v>
      </c>
      <c r="P16" s="17" t="n">
        <f aca="false">(O16-J16)/J16</f>
        <v>0</v>
      </c>
      <c r="Q16" s="0" t="s">
        <v>4</v>
      </c>
      <c r="T16" s="0" t="s">
        <v>41</v>
      </c>
      <c r="U16" s="0" t="n">
        <v>20</v>
      </c>
      <c r="W16" s="0" t="s">
        <v>41</v>
      </c>
    </row>
    <row r="17" customFormat="false" ht="13.8" hidden="false" customHeight="false" outlineLevel="0" collapsed="false">
      <c r="A17" s="0" t="n">
        <v>102</v>
      </c>
      <c r="B17" s="0" t="s">
        <v>36</v>
      </c>
      <c r="C17" s="16" t="n">
        <v>40971</v>
      </c>
      <c r="D17" s="0" t="s">
        <v>41</v>
      </c>
      <c r="E17" s="0" t="n">
        <v>4</v>
      </c>
      <c r="F17" s="0" t="s">
        <v>39</v>
      </c>
      <c r="G17" s="0" t="n">
        <v>20</v>
      </c>
      <c r="H17" s="0" t="n">
        <v>70</v>
      </c>
      <c r="I17" s="0" t="n">
        <f aca="false">H17*G17</f>
        <v>1400</v>
      </c>
      <c r="J17" s="0" t="n">
        <v>5.87</v>
      </c>
      <c r="L17" s="10" t="n">
        <v>0.18</v>
      </c>
      <c r="M17" s="11" t="n">
        <f aca="false">J17/(1+L17)</f>
        <v>4.97457627118644</v>
      </c>
      <c r="O17" s="0" t="n">
        <v>7.3</v>
      </c>
      <c r="P17" s="17" t="n">
        <f aca="false">(O17-J17)/J17</f>
        <v>0.243611584327087</v>
      </c>
      <c r="Q17" s="0" t="s">
        <v>10</v>
      </c>
      <c r="T17" s="0" t="s">
        <v>41</v>
      </c>
      <c r="U17" s="0" t="n">
        <v>20</v>
      </c>
      <c r="W17" s="0" t="s">
        <v>41</v>
      </c>
    </row>
    <row r="18" customFormat="false" ht="13.8" hidden="false" customHeight="false" outlineLevel="0" collapsed="false">
      <c r="A18" s="0" t="n">
        <v>98</v>
      </c>
      <c r="B18" s="0" t="s">
        <v>36</v>
      </c>
      <c r="C18" s="16" t="n">
        <v>40971</v>
      </c>
      <c r="D18" s="0" t="s">
        <v>42</v>
      </c>
      <c r="E18" s="0" t="n">
        <v>4</v>
      </c>
      <c r="F18" s="0" t="s">
        <v>39</v>
      </c>
      <c r="G18" s="0" t="n">
        <v>24</v>
      </c>
      <c r="H18" s="0" t="n">
        <v>75</v>
      </c>
      <c r="I18" s="0" t="n">
        <f aca="false">H18*G18</f>
        <v>1800</v>
      </c>
      <c r="J18" s="0" t="n">
        <v>3.86</v>
      </c>
      <c r="L18" s="10" t="n">
        <v>0.18</v>
      </c>
      <c r="M18" s="11" t="n">
        <f aca="false">J18/(1+L18)</f>
        <v>3.27118644067797</v>
      </c>
      <c r="O18" s="0" t="n">
        <v>4.9</v>
      </c>
      <c r="P18" s="17" t="n">
        <f aca="false">(O18-J18)/J18</f>
        <v>0.269430051813472</v>
      </c>
      <c r="Q18" s="0" t="s">
        <v>10</v>
      </c>
      <c r="T18" s="0" t="s">
        <v>42</v>
      </c>
      <c r="U18" s="0" t="n">
        <v>24</v>
      </c>
      <c r="W18" s="0" t="s">
        <v>42</v>
      </c>
    </row>
    <row r="19" customFormat="false" ht="13.8" hidden="false" customHeight="false" outlineLevel="0" collapsed="false">
      <c r="A19" s="0" t="n">
        <v>59</v>
      </c>
      <c r="B19" s="0" t="s">
        <v>32</v>
      </c>
      <c r="C19" s="16" t="n">
        <v>40918</v>
      </c>
      <c r="D19" s="0" t="s">
        <v>43</v>
      </c>
      <c r="E19" s="0" t="n">
        <v>4</v>
      </c>
      <c r="F19" s="0" t="s">
        <v>31</v>
      </c>
      <c r="G19" s="0" t="n">
        <v>24</v>
      </c>
      <c r="H19" s="0" t="n">
        <v>120</v>
      </c>
      <c r="I19" s="0" t="n">
        <f aca="false">H19*G19</f>
        <v>2880</v>
      </c>
      <c r="J19" s="0" t="n">
        <v>2.98</v>
      </c>
      <c r="L19" s="10" t="n">
        <v>0.18</v>
      </c>
      <c r="M19" s="11" t="n">
        <f aca="false">J19/(1+L19)</f>
        <v>2.52542372881356</v>
      </c>
      <c r="O19" s="0" t="n">
        <v>3.73</v>
      </c>
      <c r="P19" s="17" t="n">
        <f aca="false">(O19-J19)/J19</f>
        <v>0.251677852348993</v>
      </c>
      <c r="Q19" s="0" t="s">
        <v>8</v>
      </c>
      <c r="T19" s="0" t="s">
        <v>43</v>
      </c>
      <c r="U19" s="0" t="n">
        <v>24</v>
      </c>
      <c r="W19" s="0" t="s">
        <v>43</v>
      </c>
    </row>
    <row r="20" customFormat="false" ht="13.8" hidden="false" customHeight="false" outlineLevel="0" collapsed="false">
      <c r="A20" s="0" t="n">
        <v>60</v>
      </c>
      <c r="B20" s="0" t="s">
        <v>32</v>
      </c>
      <c r="C20" s="16" t="n">
        <v>40918</v>
      </c>
      <c r="D20" s="0" t="s">
        <v>44</v>
      </c>
      <c r="E20" s="0" t="n">
        <v>4</v>
      </c>
      <c r="F20" s="0" t="s">
        <v>31</v>
      </c>
      <c r="G20" s="0" t="n">
        <v>24</v>
      </c>
      <c r="H20" s="0" t="n">
        <v>72</v>
      </c>
      <c r="I20" s="0" t="n">
        <f aca="false">H20*G20</f>
        <v>1728</v>
      </c>
      <c r="J20" s="0" t="n">
        <v>4.58</v>
      </c>
      <c r="L20" s="10" t="n">
        <v>0.18</v>
      </c>
      <c r="M20" s="11" t="n">
        <f aca="false">J20/(1+L20)</f>
        <v>3.88135593220339</v>
      </c>
      <c r="O20" s="0" t="n">
        <v>5.35</v>
      </c>
      <c r="P20" s="17" t="n">
        <f aca="false">(O20-J20)/J20</f>
        <v>0.168122270742358</v>
      </c>
      <c r="Q20" s="0" t="s">
        <v>8</v>
      </c>
      <c r="T20" s="0" t="s">
        <v>44</v>
      </c>
      <c r="U20" s="0" t="n">
        <v>24</v>
      </c>
      <c r="W20" s="0" t="s">
        <v>44</v>
      </c>
    </row>
    <row r="21" customFormat="false" ht="13.8" hidden="false" customHeight="false" outlineLevel="0" collapsed="false">
      <c r="A21" s="0" t="n">
        <v>88</v>
      </c>
      <c r="B21" s="0" t="s">
        <v>34</v>
      </c>
      <c r="C21" s="16" t="n">
        <v>40937</v>
      </c>
      <c r="D21" s="0" t="s">
        <v>44</v>
      </c>
      <c r="E21" s="0" t="n">
        <v>4</v>
      </c>
      <c r="F21" s="0" t="s">
        <v>31</v>
      </c>
      <c r="G21" s="0" t="n">
        <v>24</v>
      </c>
      <c r="H21" s="0" t="n">
        <v>100</v>
      </c>
      <c r="I21" s="0" t="n">
        <f aca="false">H21*G21</f>
        <v>2400</v>
      </c>
      <c r="J21" s="0" t="n">
        <v>4.3</v>
      </c>
      <c r="L21" s="10" t="n">
        <v>0.18</v>
      </c>
      <c r="M21" s="11" t="n">
        <f aca="false">J21/(1+L21)</f>
        <v>3.64406779661017</v>
      </c>
      <c r="O21" s="0" t="n">
        <v>5.35</v>
      </c>
      <c r="P21" s="17" t="n">
        <f aca="false">(O21-J21)/J21</f>
        <v>0.244186046511628</v>
      </c>
      <c r="Q21" s="0" t="s">
        <v>8</v>
      </c>
      <c r="T21" s="0" t="s">
        <v>44</v>
      </c>
      <c r="U21" s="0" t="n">
        <v>24</v>
      </c>
      <c r="W21" s="0" t="s">
        <v>44</v>
      </c>
    </row>
    <row r="22" customFormat="false" ht="13.8" hidden="false" customHeight="false" outlineLevel="0" collapsed="false">
      <c r="A22" s="0" t="n">
        <v>103</v>
      </c>
      <c r="B22" s="0" t="s">
        <v>36</v>
      </c>
      <c r="C22" s="16" t="n">
        <v>40971</v>
      </c>
      <c r="D22" s="0" t="s">
        <v>44</v>
      </c>
      <c r="E22" s="0" t="n">
        <v>4</v>
      </c>
      <c r="F22" s="0" t="s">
        <v>39</v>
      </c>
      <c r="G22" s="0" t="n">
        <v>24</v>
      </c>
      <c r="H22" s="0" t="n">
        <v>72</v>
      </c>
      <c r="I22" s="0" t="n">
        <f aca="false">H22*G22</f>
        <v>1728</v>
      </c>
      <c r="J22" s="0" t="n">
        <v>4.33</v>
      </c>
      <c r="L22" s="10" t="n">
        <v>0.18</v>
      </c>
      <c r="M22" s="11" t="n">
        <f aca="false">J22/(1+L22)</f>
        <v>3.66949152542373</v>
      </c>
      <c r="O22" s="0" t="n">
        <v>5.4</v>
      </c>
      <c r="P22" s="17" t="n">
        <f aca="false">(O22-J22)/J22</f>
        <v>0.247113163972286</v>
      </c>
      <c r="Q22" s="0" t="s">
        <v>10</v>
      </c>
      <c r="T22" s="0" t="s">
        <v>44</v>
      </c>
      <c r="U22" s="0" t="n">
        <v>24</v>
      </c>
      <c r="W22" s="0" t="s">
        <v>44</v>
      </c>
    </row>
    <row r="23" customFormat="false" ht="13.8" hidden="false" customHeight="false" outlineLevel="0" collapsed="false">
      <c r="A23" s="0" t="n">
        <v>43</v>
      </c>
      <c r="B23" s="0" t="s">
        <v>29</v>
      </c>
      <c r="C23" s="16" t="n">
        <v>40909</v>
      </c>
      <c r="D23" s="0" t="s">
        <v>45</v>
      </c>
      <c r="E23" s="0" t="n">
        <v>4</v>
      </c>
      <c r="F23" s="0" t="s">
        <v>39</v>
      </c>
      <c r="G23" s="0" t="n">
        <v>24</v>
      </c>
      <c r="H23" s="0" t="n">
        <v>87</v>
      </c>
      <c r="I23" s="0" t="n">
        <f aca="false">H23*G23</f>
        <v>2088</v>
      </c>
      <c r="J23" s="0" t="n">
        <v>4.16</v>
      </c>
      <c r="L23" s="10" t="n">
        <v>0.18</v>
      </c>
      <c r="M23" s="11" t="n">
        <f aca="false">J23/(1+L23)</f>
        <v>3.52542372881356</v>
      </c>
      <c r="O23" s="0" t="n">
        <v>5.3</v>
      </c>
      <c r="P23" s="17" t="n">
        <f aca="false">(O23-J23)/J23</f>
        <v>0.274038461538461</v>
      </c>
      <c r="Q23" s="0" t="s">
        <v>5</v>
      </c>
      <c r="T23" s="0" t="s">
        <v>45</v>
      </c>
      <c r="U23" s="0" t="n">
        <v>24</v>
      </c>
      <c r="W23" s="0" t="s">
        <v>45</v>
      </c>
    </row>
    <row r="24" customFormat="false" ht="13.8" hidden="false" customHeight="false" outlineLevel="0" collapsed="false">
      <c r="A24" s="0" t="n">
        <v>99</v>
      </c>
      <c r="B24" s="0" t="s">
        <v>36</v>
      </c>
      <c r="C24" s="16" t="n">
        <v>40971</v>
      </c>
      <c r="D24" s="0" t="s">
        <v>45</v>
      </c>
      <c r="E24" s="0" t="n">
        <v>4</v>
      </c>
      <c r="F24" s="0" t="s">
        <v>39</v>
      </c>
      <c r="G24" s="0" t="n">
        <v>24</v>
      </c>
      <c r="H24" s="0" t="n">
        <v>53</v>
      </c>
      <c r="I24" s="0" t="n">
        <f aca="false">H24*G24</f>
        <v>1272</v>
      </c>
      <c r="J24" s="0" t="n">
        <v>4.83</v>
      </c>
      <c r="L24" s="10" t="n">
        <v>0.18</v>
      </c>
      <c r="M24" s="11" t="n">
        <f aca="false">J24/(1+L24)</f>
        <v>4.09322033898305</v>
      </c>
      <c r="O24" s="0" t="n">
        <v>5.5</v>
      </c>
      <c r="P24" s="17" t="n">
        <f aca="false">(O24-J24)/J24</f>
        <v>0.13871635610766</v>
      </c>
      <c r="Q24" s="0" t="s">
        <v>10</v>
      </c>
      <c r="T24" s="0" t="s">
        <v>45</v>
      </c>
      <c r="U24" s="0" t="n">
        <v>24</v>
      </c>
      <c r="W24" s="0" t="s">
        <v>45</v>
      </c>
    </row>
    <row r="25" customFormat="false" ht="13.8" hidden="false" customHeight="false" outlineLevel="0" collapsed="false">
      <c r="A25" s="0" t="n">
        <v>110</v>
      </c>
      <c r="B25" s="0" t="s">
        <v>35</v>
      </c>
      <c r="C25" s="16" t="n">
        <v>40994</v>
      </c>
      <c r="D25" s="0" t="s">
        <v>46</v>
      </c>
      <c r="E25" s="0" t="n">
        <v>4</v>
      </c>
      <c r="F25" s="0" t="s">
        <v>39</v>
      </c>
      <c r="G25" s="0" t="n">
        <v>24</v>
      </c>
      <c r="H25" s="0" t="n">
        <v>25</v>
      </c>
      <c r="I25" s="0" t="n">
        <f aca="false">H25*G25</f>
        <v>600</v>
      </c>
      <c r="J25" s="0" t="n">
        <v>4.38</v>
      </c>
      <c r="L25" s="10" t="n">
        <v>0.18</v>
      </c>
      <c r="M25" s="11" t="n">
        <f aca="false">J25/(1+L25)</f>
        <v>3.71186440677966</v>
      </c>
      <c r="O25" s="0" t="n">
        <v>5.8</v>
      </c>
      <c r="P25" s="17" t="n">
        <f aca="false">(O25-J25)/J25</f>
        <v>0.324200913242009</v>
      </c>
      <c r="Q25" s="0" t="s">
        <v>9</v>
      </c>
      <c r="T25" s="0" t="s">
        <v>46</v>
      </c>
      <c r="U25" s="0" t="n">
        <v>24</v>
      </c>
      <c r="W25" s="0" t="s">
        <v>46</v>
      </c>
    </row>
    <row r="26" customFormat="false" ht="13.8" hidden="false" customHeight="false" outlineLevel="0" collapsed="false">
      <c r="A26" s="0" t="n">
        <v>84</v>
      </c>
      <c r="B26" s="0" t="s">
        <v>47</v>
      </c>
      <c r="C26" s="16" t="n">
        <v>40935</v>
      </c>
      <c r="D26" s="0" t="s">
        <v>48</v>
      </c>
      <c r="E26" s="0" t="n">
        <v>5</v>
      </c>
      <c r="F26" s="0" t="s">
        <v>39</v>
      </c>
      <c r="G26" s="0" t="n">
        <v>12</v>
      </c>
      <c r="H26" s="0" t="n">
        <v>114</v>
      </c>
      <c r="I26" s="0" t="n">
        <f aca="false">H26*G26</f>
        <v>1368</v>
      </c>
      <c r="J26" s="0" t="n">
        <v>3.9</v>
      </c>
      <c r="L26" s="10" t="n">
        <v>0.18</v>
      </c>
      <c r="M26" s="11" t="n">
        <f aca="false">J26/(1+L26)</f>
        <v>3.30508474576271</v>
      </c>
      <c r="O26" s="0" t="n">
        <v>4.5</v>
      </c>
      <c r="P26" s="17" t="n">
        <f aca="false">(O26-J26)/J26</f>
        <v>0.153846153846154</v>
      </c>
      <c r="Q26" s="0" t="s">
        <v>11</v>
      </c>
      <c r="T26" s="0" t="s">
        <v>48</v>
      </c>
      <c r="U26" s="0" t="n">
        <v>12</v>
      </c>
      <c r="W26" s="0" t="s">
        <v>48</v>
      </c>
    </row>
    <row r="27" customFormat="false" ht="13.8" hidden="false" customHeight="false" outlineLevel="0" collapsed="false">
      <c r="A27" s="0" t="n">
        <v>113</v>
      </c>
      <c r="B27" s="0" t="s">
        <v>49</v>
      </c>
      <c r="C27" s="16" t="n">
        <v>40995</v>
      </c>
      <c r="D27" s="0" t="s">
        <v>50</v>
      </c>
      <c r="E27" s="0" t="n">
        <v>4</v>
      </c>
      <c r="F27" s="0" t="s">
        <v>39</v>
      </c>
      <c r="G27" s="0" t="n">
        <v>24</v>
      </c>
      <c r="H27" s="0" t="n">
        <v>5</v>
      </c>
      <c r="I27" s="0" t="n">
        <f aca="false">H27*G27</f>
        <v>120</v>
      </c>
      <c r="J27" s="0" t="n">
        <v>6.01</v>
      </c>
      <c r="L27" s="10" t="n">
        <v>0.18</v>
      </c>
      <c r="M27" s="11" t="n">
        <f aca="false">J27/(1+L27)</f>
        <v>5.09322033898305</v>
      </c>
      <c r="O27" s="0" t="n">
        <v>8</v>
      </c>
      <c r="P27" s="17" t="n">
        <f aca="false">(O27-J27)/J27</f>
        <v>0.331114808652246</v>
      </c>
      <c r="Q27" s="0" t="s">
        <v>7</v>
      </c>
      <c r="T27" s="0" t="s">
        <v>50</v>
      </c>
      <c r="U27" s="0" t="n">
        <v>24</v>
      </c>
      <c r="W27" s="0" t="s">
        <v>50</v>
      </c>
    </row>
    <row r="28" customFormat="false" ht="13.8" hidden="false" customHeight="false" outlineLevel="0" collapsed="false">
      <c r="A28" s="0" t="n">
        <v>44</v>
      </c>
      <c r="B28" s="0" t="s">
        <v>29</v>
      </c>
      <c r="C28" s="16" t="n">
        <v>40909</v>
      </c>
      <c r="D28" s="0" t="s">
        <v>51</v>
      </c>
      <c r="E28" s="0" t="n">
        <v>4</v>
      </c>
      <c r="F28" s="0" t="s">
        <v>39</v>
      </c>
      <c r="G28" s="0" t="n">
        <v>24</v>
      </c>
      <c r="H28" s="0" t="n">
        <v>25</v>
      </c>
      <c r="I28" s="0" t="n">
        <f aca="false">H28*G28</f>
        <v>600</v>
      </c>
      <c r="J28" s="0" t="n">
        <v>4.21</v>
      </c>
      <c r="L28" s="10" t="n">
        <v>0.18</v>
      </c>
      <c r="M28" s="11" t="n">
        <f aca="false">J28/(1+L28)</f>
        <v>3.56779661016949</v>
      </c>
      <c r="O28" s="0" t="n">
        <v>5.3</v>
      </c>
      <c r="P28" s="17" t="n">
        <f aca="false">(O28-J28)/J28</f>
        <v>0.258907363420428</v>
      </c>
      <c r="Q28" s="0" t="s">
        <v>5</v>
      </c>
      <c r="T28" s="0" t="s">
        <v>51</v>
      </c>
      <c r="U28" s="0" t="n">
        <v>24</v>
      </c>
      <c r="W28" s="0" t="s">
        <v>51</v>
      </c>
    </row>
    <row r="29" customFormat="false" ht="13.8" hidden="false" customHeight="false" outlineLevel="0" collapsed="false">
      <c r="A29" s="0" t="n">
        <v>61</v>
      </c>
      <c r="B29" s="0" t="s">
        <v>32</v>
      </c>
      <c r="C29" s="16" t="n">
        <v>40918</v>
      </c>
      <c r="D29" s="0" t="s">
        <v>51</v>
      </c>
      <c r="E29" s="0" t="n">
        <v>4</v>
      </c>
      <c r="F29" s="0" t="s">
        <v>39</v>
      </c>
      <c r="G29" s="0" t="n">
        <v>24</v>
      </c>
      <c r="H29" s="0" t="n">
        <v>63</v>
      </c>
      <c r="I29" s="0" t="n">
        <f aca="false">H29*G29</f>
        <v>1512</v>
      </c>
      <c r="J29" s="0" t="n">
        <v>4.28</v>
      </c>
      <c r="L29" s="10" t="n">
        <v>0.18</v>
      </c>
      <c r="M29" s="11" t="n">
        <f aca="false">J29/(1+L29)</f>
        <v>3.6271186440678</v>
      </c>
      <c r="O29" s="0" t="n">
        <v>5.35</v>
      </c>
      <c r="P29" s="17" t="n">
        <f aca="false">(O29-J29)/J29</f>
        <v>0.25</v>
      </c>
      <c r="Q29" s="0" t="s">
        <v>8</v>
      </c>
      <c r="T29" s="0" t="s">
        <v>51</v>
      </c>
      <c r="U29" s="0" t="n">
        <v>24</v>
      </c>
      <c r="W29" s="0" t="s">
        <v>51</v>
      </c>
    </row>
    <row r="30" customFormat="false" ht="13.8" hidden="false" customHeight="false" outlineLevel="0" collapsed="false">
      <c r="A30" s="0" t="n">
        <v>79</v>
      </c>
      <c r="B30" s="0" t="s">
        <v>33</v>
      </c>
      <c r="C30" s="16" t="n">
        <v>40924</v>
      </c>
      <c r="D30" s="0" t="s">
        <v>51</v>
      </c>
      <c r="E30" s="0" t="n">
        <v>4</v>
      </c>
      <c r="F30" s="0" t="s">
        <v>39</v>
      </c>
      <c r="G30" s="0" t="n">
        <v>24</v>
      </c>
      <c r="H30" s="0" t="n">
        <v>1</v>
      </c>
      <c r="I30" s="0" t="n">
        <f aca="false">H30*G30</f>
        <v>24</v>
      </c>
      <c r="J30" s="0" t="n">
        <v>4.28</v>
      </c>
      <c r="L30" s="10" t="n">
        <v>0.18</v>
      </c>
      <c r="M30" s="11" t="n">
        <f aca="false">J30/(1+L30)</f>
        <v>3.6271186440678</v>
      </c>
      <c r="O30" s="0" t="n">
        <v>5.3</v>
      </c>
      <c r="P30" s="17" t="n">
        <f aca="false">(O30-J30)/J30</f>
        <v>0.238317757009346</v>
      </c>
      <c r="Q30" s="0" t="s">
        <v>4</v>
      </c>
      <c r="T30" s="0" t="s">
        <v>51</v>
      </c>
      <c r="U30" s="0" t="n">
        <v>24</v>
      </c>
      <c r="W30" s="0" t="s">
        <v>51</v>
      </c>
    </row>
    <row r="31" customFormat="false" ht="13.8" hidden="false" customHeight="false" outlineLevel="0" collapsed="false">
      <c r="A31" s="0" t="n">
        <v>89</v>
      </c>
      <c r="B31" s="0" t="s">
        <v>34</v>
      </c>
      <c r="C31" s="16" t="n">
        <v>40937</v>
      </c>
      <c r="D31" s="0" t="s">
        <v>51</v>
      </c>
      <c r="E31" s="0" t="n">
        <v>4</v>
      </c>
      <c r="F31" s="0" t="s">
        <v>39</v>
      </c>
      <c r="G31" s="0" t="n">
        <v>24</v>
      </c>
      <c r="H31" s="0" t="n">
        <v>63</v>
      </c>
      <c r="I31" s="0" t="n">
        <f aca="false">H31*G31</f>
        <v>1512</v>
      </c>
      <c r="J31" s="0" t="n">
        <v>4.25</v>
      </c>
      <c r="L31" s="10" t="n">
        <v>0.18</v>
      </c>
      <c r="M31" s="11" t="n">
        <f aca="false">J31/(1+L31)</f>
        <v>3.60169491525424</v>
      </c>
      <c r="O31" s="0" t="n">
        <v>5.35</v>
      </c>
      <c r="P31" s="17" t="n">
        <f aca="false">(O31-J31)/J31</f>
        <v>0.258823529411765</v>
      </c>
      <c r="Q31" s="0" t="s">
        <v>8</v>
      </c>
      <c r="T31" s="0" t="s">
        <v>51</v>
      </c>
      <c r="U31" s="0" t="n">
        <v>24</v>
      </c>
      <c r="W31" s="0" t="s">
        <v>51</v>
      </c>
    </row>
    <row r="32" customFormat="false" ht="13.8" hidden="false" customHeight="false" outlineLevel="0" collapsed="false">
      <c r="A32" s="0" t="n">
        <v>45</v>
      </c>
      <c r="B32" s="0" t="s">
        <v>29</v>
      </c>
      <c r="C32" s="16" t="n">
        <v>40909</v>
      </c>
      <c r="D32" s="0" t="s">
        <v>52</v>
      </c>
      <c r="E32" s="0" t="n">
        <v>4</v>
      </c>
      <c r="F32" s="0" t="s">
        <v>39</v>
      </c>
      <c r="G32" s="0" t="n">
        <v>20</v>
      </c>
      <c r="H32" s="0" t="n">
        <v>5</v>
      </c>
      <c r="I32" s="0" t="n">
        <f aca="false">H32*G32</f>
        <v>100</v>
      </c>
      <c r="J32" s="0" t="n">
        <v>8.38</v>
      </c>
      <c r="L32" s="10" t="n">
        <v>0.18</v>
      </c>
      <c r="M32" s="11" t="n">
        <f aca="false">J32/(1+L32)</f>
        <v>7.10169491525424</v>
      </c>
      <c r="O32" s="0" t="n">
        <v>10.5</v>
      </c>
      <c r="P32" s="17" t="n">
        <f aca="false">(O32-J32)/J32</f>
        <v>0.252983293556086</v>
      </c>
      <c r="Q32" s="0" t="s">
        <v>5</v>
      </c>
      <c r="T32" s="0" t="s">
        <v>52</v>
      </c>
      <c r="U32" s="0" t="n">
        <v>20</v>
      </c>
      <c r="W32" s="0" t="s">
        <v>52</v>
      </c>
    </row>
    <row r="33" customFormat="false" ht="13.8" hidden="false" customHeight="false" outlineLevel="0" collapsed="false">
      <c r="A33" s="0" t="n">
        <v>90</v>
      </c>
      <c r="B33" s="0" t="s">
        <v>34</v>
      </c>
      <c r="C33" s="16" t="n">
        <v>40937</v>
      </c>
      <c r="D33" s="0" t="s">
        <v>52</v>
      </c>
      <c r="E33" s="0" t="n">
        <v>4</v>
      </c>
      <c r="F33" s="0" t="s">
        <v>39</v>
      </c>
      <c r="G33" s="0" t="n">
        <v>20</v>
      </c>
      <c r="H33" s="0" t="n">
        <v>30</v>
      </c>
      <c r="I33" s="0" t="n">
        <f aca="false">H33*G33</f>
        <v>600</v>
      </c>
      <c r="J33" s="0" t="n">
        <v>10.18</v>
      </c>
      <c r="L33" s="10" t="n">
        <v>0.18</v>
      </c>
      <c r="M33" s="11" t="n">
        <f aca="false">J33/(1+L33)</f>
        <v>8.6271186440678</v>
      </c>
      <c r="O33" s="0" t="n">
        <v>12.5</v>
      </c>
      <c r="P33" s="17" t="n">
        <f aca="false">(O33-J33)/J33</f>
        <v>0.227897838899804</v>
      </c>
      <c r="Q33" s="0" t="s">
        <v>8</v>
      </c>
      <c r="T33" s="0" t="s">
        <v>52</v>
      </c>
      <c r="U33" s="0" t="n">
        <v>20</v>
      </c>
      <c r="W33" s="0" t="s">
        <v>52</v>
      </c>
    </row>
    <row r="34" customFormat="false" ht="13.8" hidden="false" customHeight="false" outlineLevel="0" collapsed="false">
      <c r="A34" s="0" t="n">
        <v>46</v>
      </c>
      <c r="B34" s="0" t="s">
        <v>29</v>
      </c>
      <c r="C34" s="16" t="n">
        <v>40909</v>
      </c>
      <c r="D34" s="0" t="s">
        <v>53</v>
      </c>
      <c r="E34" s="0" t="n">
        <v>4</v>
      </c>
      <c r="F34" s="0" t="s">
        <v>39</v>
      </c>
      <c r="G34" s="0" t="n">
        <v>20</v>
      </c>
      <c r="H34" s="0" t="n">
        <v>1</v>
      </c>
      <c r="I34" s="0" t="n">
        <f aca="false">H34*G34</f>
        <v>20</v>
      </c>
      <c r="J34" s="0" t="n">
        <v>8.38</v>
      </c>
      <c r="L34" s="10" t="n">
        <v>0.18</v>
      </c>
      <c r="M34" s="11" t="n">
        <f aca="false">J34/(1+L34)</f>
        <v>7.10169491525424</v>
      </c>
      <c r="O34" s="0" t="n">
        <v>10.5</v>
      </c>
      <c r="P34" s="17" t="n">
        <f aca="false">(O34-J34)/J34</f>
        <v>0.252983293556086</v>
      </c>
      <c r="Q34" s="0" t="s">
        <v>5</v>
      </c>
      <c r="T34" s="0" t="s">
        <v>53</v>
      </c>
      <c r="U34" s="0" t="n">
        <v>20</v>
      </c>
      <c r="W34" s="0" t="s">
        <v>53</v>
      </c>
    </row>
    <row r="35" customFormat="false" ht="13.8" hidden="false" customHeight="false" outlineLevel="0" collapsed="false">
      <c r="A35" s="0" t="n">
        <v>91</v>
      </c>
      <c r="B35" s="0" t="s">
        <v>34</v>
      </c>
      <c r="C35" s="16" t="n">
        <v>40937</v>
      </c>
      <c r="D35" s="0" t="s">
        <v>53</v>
      </c>
      <c r="E35" s="0" t="n">
        <v>4</v>
      </c>
      <c r="F35" s="0" t="s">
        <v>39</v>
      </c>
      <c r="G35" s="0" t="n">
        <v>20</v>
      </c>
      <c r="H35" s="0" t="n">
        <v>30</v>
      </c>
      <c r="I35" s="0" t="n">
        <f aca="false">H35*G35</f>
        <v>600</v>
      </c>
      <c r="J35" s="0" t="n">
        <v>10.18</v>
      </c>
      <c r="L35" s="10" t="n">
        <v>0.18</v>
      </c>
      <c r="M35" s="11" t="n">
        <f aca="false">J35/(1+L35)</f>
        <v>8.6271186440678</v>
      </c>
      <c r="O35" s="0" t="n">
        <v>12.5</v>
      </c>
      <c r="P35" s="17" t="n">
        <f aca="false">(O35-J35)/J35</f>
        <v>0.227897838899804</v>
      </c>
      <c r="Q35" s="0" t="s">
        <v>8</v>
      </c>
      <c r="T35" s="0" t="s">
        <v>53</v>
      </c>
      <c r="U35" s="0" t="n">
        <v>20</v>
      </c>
      <c r="W35" s="0" t="s">
        <v>53</v>
      </c>
    </row>
    <row r="36" customFormat="false" ht="13.8" hidden="false" customHeight="false" outlineLevel="0" collapsed="false">
      <c r="A36" s="0" t="n">
        <v>62</v>
      </c>
      <c r="B36" s="0" t="s">
        <v>32</v>
      </c>
      <c r="C36" s="16" t="n">
        <v>40918</v>
      </c>
      <c r="D36" s="0" t="s">
        <v>54</v>
      </c>
      <c r="E36" s="0" t="n">
        <v>4</v>
      </c>
      <c r="F36" s="0" t="s">
        <v>31</v>
      </c>
      <c r="G36" s="0" t="n">
        <v>24</v>
      </c>
      <c r="H36" s="0" t="n">
        <v>20</v>
      </c>
      <c r="I36" s="0" t="n">
        <f aca="false">H36*G36</f>
        <v>480</v>
      </c>
      <c r="J36" s="0" t="n">
        <v>3.66</v>
      </c>
      <c r="L36" s="10" t="n">
        <v>0.18</v>
      </c>
      <c r="M36" s="11" t="n">
        <f aca="false">J36/(1+L36)</f>
        <v>3.10169491525424</v>
      </c>
      <c r="O36" s="0" t="n">
        <v>4.58</v>
      </c>
      <c r="P36" s="17" t="n">
        <f aca="false">(O36-J36)/J36</f>
        <v>0.251366120218579</v>
      </c>
      <c r="Q36" s="0" t="s">
        <v>8</v>
      </c>
      <c r="T36" s="0" t="s">
        <v>54</v>
      </c>
      <c r="U36" s="0" t="n">
        <v>24</v>
      </c>
      <c r="W36" s="0" t="s">
        <v>54</v>
      </c>
    </row>
    <row r="37" customFormat="false" ht="13.8" hidden="false" customHeight="false" outlineLevel="0" collapsed="false">
      <c r="A37" s="0" t="n">
        <v>92</v>
      </c>
      <c r="B37" s="0" t="s">
        <v>34</v>
      </c>
      <c r="C37" s="16" t="n">
        <v>40937</v>
      </c>
      <c r="D37" s="0" t="s">
        <v>55</v>
      </c>
      <c r="E37" s="0" t="n">
        <v>4</v>
      </c>
      <c r="F37" s="0" t="s">
        <v>56</v>
      </c>
      <c r="G37" s="0" t="n">
        <v>2</v>
      </c>
      <c r="H37" s="0" t="n">
        <v>3</v>
      </c>
      <c r="I37" s="0" t="n">
        <f aca="false">H37*G37</f>
        <v>6</v>
      </c>
      <c r="J37" s="0" t="n">
        <v>7.64</v>
      </c>
      <c r="L37" s="10" t="n">
        <v>0.18</v>
      </c>
      <c r="M37" s="11" t="n">
        <f aca="false">J37/(1+L37)</f>
        <v>6.47457627118644</v>
      </c>
      <c r="O37" s="0" t="n">
        <v>9.56</v>
      </c>
      <c r="P37" s="17" t="n">
        <f aca="false">(O37-J37)/J37</f>
        <v>0.25130890052356</v>
      </c>
      <c r="Q37" s="0" t="s">
        <v>8</v>
      </c>
      <c r="T37" s="0" t="s">
        <v>55</v>
      </c>
      <c r="U37" s="0" t="n">
        <v>2</v>
      </c>
      <c r="W37" s="0" t="s">
        <v>55</v>
      </c>
    </row>
    <row r="38" customFormat="false" ht="13.8" hidden="false" customHeight="false" outlineLevel="0" collapsed="false">
      <c r="A38" s="0" t="n">
        <v>63</v>
      </c>
      <c r="B38" s="0" t="s">
        <v>32</v>
      </c>
      <c r="C38" s="16" t="n">
        <v>40918</v>
      </c>
      <c r="D38" s="0" t="s">
        <v>57</v>
      </c>
      <c r="E38" s="0" t="n">
        <v>4</v>
      </c>
      <c r="F38" s="0" t="s">
        <v>39</v>
      </c>
      <c r="G38" s="0" t="n">
        <v>24</v>
      </c>
      <c r="H38" s="0" t="n">
        <v>100</v>
      </c>
      <c r="I38" s="0" t="n">
        <f aca="false">H38*G38</f>
        <v>2400</v>
      </c>
      <c r="J38" s="0" t="n">
        <v>3.43</v>
      </c>
      <c r="L38" s="10" t="n">
        <v>0.18</v>
      </c>
      <c r="M38" s="11" t="n">
        <f aca="false">J38/(1+L38)</f>
        <v>2.90677966101695</v>
      </c>
      <c r="O38" s="0" t="n">
        <v>4.3</v>
      </c>
      <c r="P38" s="17" t="n">
        <f aca="false">(O38-J38)/J38</f>
        <v>0.253644314868805</v>
      </c>
      <c r="Q38" s="0" t="s">
        <v>8</v>
      </c>
      <c r="T38" s="0" t="s">
        <v>57</v>
      </c>
      <c r="U38" s="0" t="n">
        <v>24</v>
      </c>
      <c r="W38" s="0" t="s">
        <v>57</v>
      </c>
    </row>
    <row r="39" customFormat="false" ht="13.8" hidden="false" customHeight="false" outlineLevel="0" collapsed="false">
      <c r="A39" s="0" t="n">
        <v>1</v>
      </c>
      <c r="B39" s="0" t="s">
        <v>29</v>
      </c>
      <c r="C39" s="16" t="n">
        <v>40909</v>
      </c>
      <c r="D39" s="0" t="s">
        <v>58</v>
      </c>
      <c r="E39" s="0" t="n">
        <v>5</v>
      </c>
      <c r="F39" s="0" t="s">
        <v>59</v>
      </c>
      <c r="G39" s="0" t="n">
        <v>1</v>
      </c>
      <c r="H39" s="0" t="n">
        <v>1600</v>
      </c>
      <c r="I39" s="0" t="n">
        <f aca="false">H39*G39</f>
        <v>1600</v>
      </c>
      <c r="J39" s="0" t="n">
        <v>1.2</v>
      </c>
      <c r="L39" s="10" t="n">
        <v>0.18</v>
      </c>
      <c r="M39" s="11" t="n">
        <f aca="false">J39/(1+L39)</f>
        <v>1.01694915254237</v>
      </c>
      <c r="O39" s="0" t="n">
        <v>1.6</v>
      </c>
      <c r="P39" s="17" t="n">
        <f aca="false">(O39-J39)/J39</f>
        <v>0.333333333333333</v>
      </c>
      <c r="Q39" s="0" t="s">
        <v>5</v>
      </c>
      <c r="T39" s="0" t="s">
        <v>58</v>
      </c>
      <c r="U39" s="0" t="n">
        <v>1</v>
      </c>
      <c r="W39" s="0" t="s">
        <v>58</v>
      </c>
    </row>
    <row r="40" customFormat="false" ht="13.8" hidden="false" customHeight="false" outlineLevel="0" collapsed="false">
      <c r="A40" s="0" t="n">
        <v>2</v>
      </c>
      <c r="B40" s="0" t="s">
        <v>29</v>
      </c>
      <c r="C40" s="16" t="n">
        <v>40909</v>
      </c>
      <c r="D40" s="0" t="s">
        <v>60</v>
      </c>
      <c r="E40" s="0" t="n">
        <v>5</v>
      </c>
      <c r="F40" s="0" t="s">
        <v>59</v>
      </c>
      <c r="G40" s="0" t="n">
        <v>1</v>
      </c>
      <c r="H40" s="0" t="n">
        <v>3800</v>
      </c>
      <c r="I40" s="0" t="n">
        <f aca="false">H40*G40</f>
        <v>3800</v>
      </c>
      <c r="J40" s="0" t="n">
        <v>1</v>
      </c>
      <c r="L40" s="10" t="n">
        <v>0.18</v>
      </c>
      <c r="M40" s="11" t="n">
        <f aca="false">J40/(1+L40)</f>
        <v>0.847457627118644</v>
      </c>
      <c r="O40" s="0" t="n">
        <v>1.2</v>
      </c>
      <c r="P40" s="17" t="n">
        <f aca="false">(O40-J40)/J40</f>
        <v>0.2</v>
      </c>
      <c r="Q40" s="0" t="s">
        <v>5</v>
      </c>
      <c r="T40" s="0" t="s">
        <v>60</v>
      </c>
      <c r="U40" s="0" t="n">
        <v>1</v>
      </c>
      <c r="W40" s="0" t="s">
        <v>60</v>
      </c>
    </row>
    <row r="41" customFormat="false" ht="13.8" hidden="false" customHeight="false" outlineLevel="0" collapsed="false">
      <c r="A41" s="0" t="n">
        <v>3</v>
      </c>
      <c r="B41" s="0" t="s">
        <v>29</v>
      </c>
      <c r="C41" s="16" t="n">
        <v>40909</v>
      </c>
      <c r="D41" s="0" t="s">
        <v>61</v>
      </c>
      <c r="E41" s="0" t="n">
        <v>2</v>
      </c>
      <c r="F41" s="0" t="s">
        <v>59</v>
      </c>
      <c r="G41" s="0" t="n">
        <v>1</v>
      </c>
      <c r="H41" s="0" t="n">
        <v>25</v>
      </c>
      <c r="I41" s="0" t="n">
        <f aca="false">H41*G41</f>
        <v>25</v>
      </c>
      <c r="J41" s="0" t="n">
        <v>3.9</v>
      </c>
      <c r="L41" s="10" t="n">
        <v>0.18</v>
      </c>
      <c r="M41" s="11" t="n">
        <f aca="false">J41/(1+L41)</f>
        <v>3.30508474576271</v>
      </c>
      <c r="O41" s="0" t="n">
        <v>4.7</v>
      </c>
      <c r="P41" s="17" t="n">
        <f aca="false">(O41-J41)/J41</f>
        <v>0.205128205128205</v>
      </c>
      <c r="Q41" s="0" t="s">
        <v>5</v>
      </c>
      <c r="T41" s="0" t="s">
        <v>61</v>
      </c>
      <c r="U41" s="0" t="n">
        <v>1</v>
      </c>
      <c r="W41" s="0" t="s">
        <v>61</v>
      </c>
    </row>
    <row r="42" customFormat="false" ht="13.8" hidden="false" customHeight="false" outlineLevel="0" collapsed="false">
      <c r="A42" s="0" t="n">
        <v>4</v>
      </c>
      <c r="B42" s="0" t="s">
        <v>29</v>
      </c>
      <c r="C42" s="16" t="n">
        <v>40909</v>
      </c>
      <c r="D42" s="0" t="s">
        <v>62</v>
      </c>
      <c r="E42" s="0" t="n">
        <v>1</v>
      </c>
      <c r="F42" s="0" t="s">
        <v>39</v>
      </c>
      <c r="G42" s="0" t="n">
        <v>1</v>
      </c>
      <c r="H42" s="0" t="n">
        <v>24</v>
      </c>
      <c r="I42" s="0" t="n">
        <f aca="false">H42*G42</f>
        <v>24</v>
      </c>
      <c r="J42" s="0" t="n">
        <v>9.54</v>
      </c>
      <c r="L42" s="10" t="n">
        <v>0.18</v>
      </c>
      <c r="M42" s="11" t="n">
        <f aca="false">J42/(1+L42)</f>
        <v>8.08474576271186</v>
      </c>
      <c r="O42" s="0" t="n">
        <v>11.5</v>
      </c>
      <c r="P42" s="17" t="n">
        <f aca="false">(O42-J42)/J42</f>
        <v>0.205450733752621</v>
      </c>
      <c r="Q42" s="0" t="s">
        <v>5</v>
      </c>
      <c r="T42" s="0" t="s">
        <v>62</v>
      </c>
      <c r="U42" s="0" t="n">
        <v>1</v>
      </c>
      <c r="W42" s="0" t="s">
        <v>62</v>
      </c>
    </row>
    <row r="43" customFormat="false" ht="13.8" hidden="false" customHeight="false" outlineLevel="0" collapsed="false">
      <c r="A43" s="0" t="n">
        <v>5</v>
      </c>
      <c r="B43" s="0" t="s">
        <v>29</v>
      </c>
      <c r="C43" s="16" t="n">
        <v>40909</v>
      </c>
      <c r="D43" s="0" t="s">
        <v>63</v>
      </c>
      <c r="E43" s="0" t="n">
        <v>1</v>
      </c>
      <c r="F43" s="0" t="s">
        <v>39</v>
      </c>
      <c r="G43" s="0" t="n">
        <v>1</v>
      </c>
      <c r="H43" s="0" t="n">
        <v>242</v>
      </c>
      <c r="I43" s="0" t="n">
        <f aca="false">H43*G43</f>
        <v>242</v>
      </c>
      <c r="J43" s="0" t="n">
        <v>9.95</v>
      </c>
      <c r="L43" s="10" t="n">
        <v>0.18</v>
      </c>
      <c r="M43" s="11" t="n">
        <f aca="false">J43/(1+L43)</f>
        <v>8.43220338983051</v>
      </c>
      <c r="O43" s="0" t="n">
        <v>12.45</v>
      </c>
      <c r="P43" s="17" t="n">
        <f aca="false">(O43-J43)/J43</f>
        <v>0.251256281407035</v>
      </c>
      <c r="Q43" s="0" t="s">
        <v>5</v>
      </c>
      <c r="T43" s="0" t="s">
        <v>63</v>
      </c>
      <c r="U43" s="0" t="n">
        <v>1</v>
      </c>
      <c r="W43" s="0" t="s">
        <v>63</v>
      </c>
    </row>
    <row r="44" customFormat="false" ht="13.8" hidden="false" customHeight="false" outlineLevel="0" collapsed="false">
      <c r="A44" s="0" t="n">
        <v>6</v>
      </c>
      <c r="B44" s="0" t="s">
        <v>29</v>
      </c>
      <c r="C44" s="16" t="n">
        <v>40909</v>
      </c>
      <c r="D44" s="0" t="s">
        <v>64</v>
      </c>
      <c r="E44" s="0" t="n">
        <v>2</v>
      </c>
      <c r="F44" s="0" t="s">
        <v>59</v>
      </c>
      <c r="G44" s="0" t="n">
        <v>1</v>
      </c>
      <c r="H44" s="0" t="n">
        <v>12</v>
      </c>
      <c r="I44" s="0" t="n">
        <f aca="false">H44*G44</f>
        <v>12</v>
      </c>
      <c r="J44" s="0" t="n">
        <v>10.15</v>
      </c>
      <c r="L44" s="10" t="n">
        <v>0.18</v>
      </c>
      <c r="M44" s="11" t="n">
        <f aca="false">J44/(1+L44)</f>
        <v>8.60169491525424</v>
      </c>
      <c r="O44" s="0" t="n">
        <v>12.68</v>
      </c>
      <c r="P44" s="17" t="n">
        <f aca="false">(O44-J44)/J44</f>
        <v>0.249261083743842</v>
      </c>
      <c r="Q44" s="0" t="s">
        <v>5</v>
      </c>
      <c r="T44" s="0" t="s">
        <v>64</v>
      </c>
      <c r="U44" s="0" t="n">
        <v>1</v>
      </c>
      <c r="W44" s="0" t="s">
        <v>64</v>
      </c>
    </row>
    <row r="45" customFormat="false" ht="13.8" hidden="false" customHeight="false" outlineLevel="0" collapsed="false">
      <c r="A45" s="0" t="n">
        <v>26</v>
      </c>
      <c r="B45" s="0" t="s">
        <v>29</v>
      </c>
      <c r="C45" s="16" t="n">
        <v>40909</v>
      </c>
      <c r="D45" s="0" t="s">
        <v>65</v>
      </c>
      <c r="E45" s="0" t="n">
        <v>5</v>
      </c>
      <c r="F45" s="0" t="s">
        <v>31</v>
      </c>
      <c r="G45" s="0" t="n">
        <v>1</v>
      </c>
      <c r="H45" s="0" t="n">
        <v>143</v>
      </c>
      <c r="I45" s="0" t="n">
        <f aca="false">H45*G45</f>
        <v>143</v>
      </c>
      <c r="J45" s="0" t="n">
        <v>14.19</v>
      </c>
      <c r="L45" s="10" t="n">
        <v>0.18</v>
      </c>
      <c r="M45" s="11" t="n">
        <f aca="false">J45/(1+L45)</f>
        <v>12.0254237288136</v>
      </c>
      <c r="O45" s="0" t="n">
        <v>17.1</v>
      </c>
      <c r="P45" s="17" t="n">
        <f aca="false">(O45-J45)/J45</f>
        <v>0.20507399577167</v>
      </c>
      <c r="Q45" s="0" t="s">
        <v>5</v>
      </c>
      <c r="T45" s="0" t="s">
        <v>65</v>
      </c>
      <c r="U45" s="0" t="n">
        <v>1</v>
      </c>
      <c r="W45" s="0" t="s">
        <v>65</v>
      </c>
    </row>
    <row r="46" customFormat="false" ht="13.8" hidden="false" customHeight="false" outlineLevel="0" collapsed="false">
      <c r="A46" s="0" t="n">
        <v>47</v>
      </c>
      <c r="B46" s="0" t="s">
        <v>29</v>
      </c>
      <c r="C46" s="16" t="n">
        <v>40909</v>
      </c>
      <c r="D46" s="0" t="s">
        <v>66</v>
      </c>
      <c r="E46" s="0" t="n">
        <v>4</v>
      </c>
      <c r="F46" s="0" t="s">
        <v>39</v>
      </c>
      <c r="G46" s="0" t="n">
        <v>24</v>
      </c>
      <c r="H46" s="0" t="n">
        <v>5</v>
      </c>
      <c r="I46" s="0" t="n">
        <f aca="false">H46*G46</f>
        <v>120</v>
      </c>
      <c r="J46" s="0" t="n">
        <v>4.72</v>
      </c>
      <c r="L46" s="10" t="n">
        <v>0.18</v>
      </c>
      <c r="M46" s="11" t="n">
        <f aca="false">J46/(1+L46)</f>
        <v>4</v>
      </c>
      <c r="O46" s="0" t="n">
        <v>5.6</v>
      </c>
      <c r="P46" s="17" t="n">
        <f aca="false">(O46-J46)/J46</f>
        <v>0.186440677966102</v>
      </c>
      <c r="Q46" s="0" t="s">
        <v>5</v>
      </c>
      <c r="T46" s="0" t="s">
        <v>66</v>
      </c>
      <c r="U46" s="0" t="n">
        <v>24</v>
      </c>
      <c r="W46" s="0" t="s">
        <v>66</v>
      </c>
    </row>
    <row r="47" customFormat="false" ht="13.8" hidden="false" customHeight="false" outlineLevel="0" collapsed="false">
      <c r="A47" s="0" t="n">
        <v>73</v>
      </c>
      <c r="B47" s="0" t="s">
        <v>67</v>
      </c>
      <c r="C47" s="16" t="n">
        <v>40921</v>
      </c>
      <c r="D47" s="0" t="s">
        <v>66</v>
      </c>
      <c r="E47" s="0" t="n">
        <v>4</v>
      </c>
      <c r="F47" s="0" t="s">
        <v>39</v>
      </c>
      <c r="G47" s="0" t="n">
        <v>24</v>
      </c>
      <c r="H47" s="0" t="n">
        <v>3</v>
      </c>
      <c r="I47" s="0" t="n">
        <f aca="false">H47*G47</f>
        <v>72</v>
      </c>
      <c r="J47" s="0" t="n">
        <v>5.45</v>
      </c>
      <c r="L47" s="10" t="n">
        <v>0.18</v>
      </c>
      <c r="M47" s="11" t="n">
        <f aca="false">J47/(1+L47)</f>
        <v>4.61864406779661</v>
      </c>
      <c r="O47" s="0" t="n">
        <v>6</v>
      </c>
      <c r="P47" s="17" t="n">
        <f aca="false">(O47-J47)/J47</f>
        <v>0.100917431192661</v>
      </c>
      <c r="Q47" s="0" t="s">
        <v>6</v>
      </c>
      <c r="T47" s="0" t="s">
        <v>66</v>
      </c>
      <c r="U47" s="0" t="n">
        <v>24</v>
      </c>
      <c r="W47" s="0" t="s">
        <v>66</v>
      </c>
    </row>
    <row r="48" customFormat="false" ht="13.8" hidden="false" customHeight="false" outlineLevel="0" collapsed="false">
      <c r="A48" s="0" t="n">
        <v>64</v>
      </c>
      <c r="B48" s="0" t="s">
        <v>32</v>
      </c>
      <c r="C48" s="16" t="n">
        <v>40918</v>
      </c>
      <c r="D48" s="0" t="s">
        <v>68</v>
      </c>
      <c r="E48" s="0" t="n">
        <v>4</v>
      </c>
      <c r="F48" s="0" t="s">
        <v>39</v>
      </c>
      <c r="G48" s="0" t="n">
        <v>24</v>
      </c>
      <c r="H48" s="0" t="n">
        <v>20</v>
      </c>
      <c r="I48" s="0" t="n">
        <f aca="false">H48*G48</f>
        <v>480</v>
      </c>
      <c r="J48" s="0" t="n">
        <v>4.79</v>
      </c>
      <c r="L48" s="10" t="n">
        <v>0.18</v>
      </c>
      <c r="M48" s="11" t="n">
        <f aca="false">J48/(1+L48)</f>
        <v>4.05932203389831</v>
      </c>
      <c r="O48" s="0" t="n">
        <v>6</v>
      </c>
      <c r="P48" s="17" t="n">
        <f aca="false">(O48-J48)/J48</f>
        <v>0.252609603340292</v>
      </c>
      <c r="Q48" s="0" t="s">
        <v>8</v>
      </c>
      <c r="T48" s="0" t="s">
        <v>68</v>
      </c>
      <c r="U48" s="0" t="n">
        <v>24</v>
      </c>
      <c r="W48" s="0" t="s">
        <v>68</v>
      </c>
    </row>
    <row r="49" customFormat="false" ht="13.8" hidden="false" customHeight="false" outlineLevel="0" collapsed="false">
      <c r="A49" s="0" t="n">
        <v>93</v>
      </c>
      <c r="B49" s="0" t="s">
        <v>34</v>
      </c>
      <c r="C49" s="16" t="n">
        <v>40937</v>
      </c>
      <c r="D49" s="0" t="s">
        <v>68</v>
      </c>
      <c r="E49" s="0" t="n">
        <v>4</v>
      </c>
      <c r="F49" s="0" t="s">
        <v>39</v>
      </c>
      <c r="G49" s="0" t="n">
        <v>24</v>
      </c>
      <c r="H49" s="0" t="n">
        <v>20</v>
      </c>
      <c r="I49" s="0" t="n">
        <f aca="false">H49*G49</f>
        <v>480</v>
      </c>
      <c r="J49" s="0" t="n">
        <v>4.81</v>
      </c>
      <c r="L49" s="10" t="n">
        <v>0.18</v>
      </c>
      <c r="M49" s="11" t="n">
        <f aca="false">J49/(1+L49)</f>
        <v>4.07627118644068</v>
      </c>
      <c r="O49" s="0" t="n">
        <v>6.05</v>
      </c>
      <c r="P49" s="17" t="n">
        <f aca="false">(O49-J49)/J49</f>
        <v>0.257796257796258</v>
      </c>
      <c r="Q49" s="0" t="s">
        <v>8</v>
      </c>
      <c r="T49" s="0" t="s">
        <v>68</v>
      </c>
      <c r="U49" s="0" t="n">
        <v>24</v>
      </c>
      <c r="W49" s="0" t="s">
        <v>68</v>
      </c>
    </row>
    <row r="50" customFormat="false" ht="13.8" hidden="false" customHeight="false" outlineLevel="0" collapsed="false">
      <c r="A50" s="0" t="n">
        <v>27</v>
      </c>
      <c r="B50" s="0" t="s">
        <v>29</v>
      </c>
      <c r="C50" s="16" t="n">
        <v>40909</v>
      </c>
      <c r="D50" s="0" t="s">
        <v>69</v>
      </c>
      <c r="E50" s="0" t="n">
        <v>5</v>
      </c>
      <c r="F50" s="0" t="s">
        <v>59</v>
      </c>
      <c r="G50" s="0" t="n">
        <v>12</v>
      </c>
      <c r="H50" s="0" t="n">
        <v>1</v>
      </c>
      <c r="I50" s="0" t="n">
        <f aca="false">H50*G50</f>
        <v>12</v>
      </c>
      <c r="J50" s="0" t="n">
        <v>5.5</v>
      </c>
      <c r="L50" s="10" t="n">
        <v>0.18</v>
      </c>
      <c r="M50" s="11" t="n">
        <f aca="false">J50/(1+L50)</f>
        <v>4.66101694915254</v>
      </c>
      <c r="O50" s="0" t="n">
        <v>6.5</v>
      </c>
      <c r="P50" s="17" t="n">
        <f aca="false">(O50-J50)/J50</f>
        <v>0.181818181818182</v>
      </c>
      <c r="Q50" s="0" t="s">
        <v>5</v>
      </c>
      <c r="T50" s="0" t="s">
        <v>69</v>
      </c>
      <c r="U50" s="0" t="n">
        <v>12</v>
      </c>
      <c r="W50" s="0" t="s">
        <v>69</v>
      </c>
    </row>
    <row r="51" customFormat="false" ht="13.8" hidden="false" customHeight="false" outlineLevel="0" collapsed="false">
      <c r="A51" s="0" t="n">
        <v>7</v>
      </c>
      <c r="B51" s="0" t="s">
        <v>29</v>
      </c>
      <c r="C51" s="16" t="n">
        <v>40909</v>
      </c>
      <c r="D51" s="0" t="s">
        <v>70</v>
      </c>
      <c r="E51" s="0" t="n">
        <v>5</v>
      </c>
      <c r="F51" s="0" t="s">
        <v>59</v>
      </c>
      <c r="G51" s="0" t="n">
        <v>1</v>
      </c>
      <c r="H51" s="0" t="n">
        <v>18</v>
      </c>
      <c r="I51" s="0" t="n">
        <f aca="false">H51*G51</f>
        <v>18</v>
      </c>
      <c r="J51" s="0" t="n">
        <v>6.46</v>
      </c>
      <c r="L51" s="10" t="n">
        <v>0.18</v>
      </c>
      <c r="M51" s="11" t="n">
        <f aca="false">J51/(1+L51)</f>
        <v>5.47457627118644</v>
      </c>
      <c r="O51" s="0" t="n">
        <v>6.46</v>
      </c>
      <c r="P51" s="17" t="n">
        <f aca="false">(O51-J51)/J51</f>
        <v>0</v>
      </c>
      <c r="Q51" s="0" t="s">
        <v>5</v>
      </c>
      <c r="T51" s="0" t="s">
        <v>70</v>
      </c>
      <c r="U51" s="0" t="n">
        <v>1</v>
      </c>
      <c r="W51" s="0" t="s">
        <v>70</v>
      </c>
    </row>
    <row r="52" customFormat="false" ht="13.8" hidden="false" customHeight="false" outlineLevel="0" collapsed="false">
      <c r="A52" s="0" t="n">
        <v>28</v>
      </c>
      <c r="B52" s="0" t="s">
        <v>29</v>
      </c>
      <c r="C52" s="16" t="n">
        <v>40909</v>
      </c>
      <c r="D52" s="0" t="s">
        <v>71</v>
      </c>
      <c r="E52" s="0" t="n">
        <v>5</v>
      </c>
      <c r="F52" s="0" t="s">
        <v>59</v>
      </c>
      <c r="G52" s="0" t="n">
        <v>6</v>
      </c>
      <c r="H52" s="0" t="n">
        <v>20</v>
      </c>
      <c r="I52" s="0" t="n">
        <f aca="false">H52*G52</f>
        <v>120</v>
      </c>
      <c r="J52" s="0" t="n">
        <v>9.3</v>
      </c>
      <c r="L52" s="10" t="n">
        <v>0.18</v>
      </c>
      <c r="M52" s="11" t="n">
        <f aca="false">J52/(1+L52)</f>
        <v>7.88135593220339</v>
      </c>
      <c r="O52" s="0" t="n">
        <v>10.99</v>
      </c>
      <c r="P52" s="17" t="n">
        <f aca="false">(O52-J52)/J52</f>
        <v>0.181720430107527</v>
      </c>
      <c r="Q52" s="0" t="s">
        <v>5</v>
      </c>
      <c r="T52" s="0" t="s">
        <v>71</v>
      </c>
      <c r="U52" s="0" t="n">
        <v>6</v>
      </c>
      <c r="W52" s="0" t="s">
        <v>71</v>
      </c>
    </row>
    <row r="53" customFormat="false" ht="13.8" hidden="false" customHeight="false" outlineLevel="0" collapsed="false">
      <c r="A53" s="0" t="n">
        <v>29</v>
      </c>
      <c r="B53" s="0" t="s">
        <v>29</v>
      </c>
      <c r="C53" s="16" t="n">
        <v>40909</v>
      </c>
      <c r="D53" s="0" t="s">
        <v>72</v>
      </c>
      <c r="E53" s="0" t="n">
        <v>5</v>
      </c>
      <c r="F53" s="0" t="s">
        <v>59</v>
      </c>
      <c r="G53" s="0" t="n">
        <v>1</v>
      </c>
      <c r="H53" s="0" t="n">
        <v>65</v>
      </c>
      <c r="I53" s="0" t="n">
        <f aca="false">H53*G53</f>
        <v>65</v>
      </c>
      <c r="J53" s="0" t="n">
        <v>4.5</v>
      </c>
      <c r="L53" s="10" t="n">
        <v>0.18</v>
      </c>
      <c r="M53" s="11" t="n">
        <f aca="false">J53/(1+L53)</f>
        <v>3.8135593220339</v>
      </c>
      <c r="O53" s="0" t="n">
        <v>6.5</v>
      </c>
      <c r="P53" s="17" t="n">
        <f aca="false">(O53-J53)/J53</f>
        <v>0.444444444444444</v>
      </c>
      <c r="Q53" s="0" t="s">
        <v>5</v>
      </c>
      <c r="T53" s="0" t="s">
        <v>72</v>
      </c>
      <c r="U53" s="0" t="n">
        <v>1</v>
      </c>
      <c r="W53" s="0" t="s">
        <v>72</v>
      </c>
    </row>
    <row r="54" customFormat="false" ht="13.8" hidden="false" customHeight="false" outlineLevel="0" collapsed="false">
      <c r="A54" s="0" t="n">
        <v>30</v>
      </c>
      <c r="B54" s="0" t="s">
        <v>29</v>
      </c>
      <c r="C54" s="16" t="n">
        <v>40909</v>
      </c>
      <c r="D54" s="0" t="s">
        <v>73</v>
      </c>
      <c r="E54" s="0" t="n">
        <v>5</v>
      </c>
      <c r="F54" s="0" t="s">
        <v>59</v>
      </c>
      <c r="G54" s="0" t="n">
        <v>1</v>
      </c>
      <c r="H54" s="0" t="n">
        <v>16</v>
      </c>
      <c r="I54" s="0" t="n">
        <f aca="false">H54*G54</f>
        <v>16</v>
      </c>
      <c r="J54" s="0" t="n">
        <v>2.5</v>
      </c>
      <c r="L54" s="10" t="n">
        <v>0.18</v>
      </c>
      <c r="M54" s="11" t="n">
        <f aca="false">J54/(1+L54)</f>
        <v>2.11864406779661</v>
      </c>
      <c r="O54" s="0" t="n">
        <v>2.99</v>
      </c>
      <c r="P54" s="17" t="n">
        <f aca="false">(O54-J54)/J54</f>
        <v>0.196</v>
      </c>
      <c r="Q54" s="0" t="s">
        <v>5</v>
      </c>
      <c r="T54" s="0" t="s">
        <v>73</v>
      </c>
      <c r="U54" s="0" t="n">
        <v>1</v>
      </c>
      <c r="W54" s="0" t="s">
        <v>73</v>
      </c>
    </row>
    <row r="55" customFormat="false" ht="13.8" hidden="false" customHeight="false" outlineLevel="0" collapsed="false">
      <c r="A55" s="0" t="n">
        <v>48</v>
      </c>
      <c r="B55" s="0" t="s">
        <v>29</v>
      </c>
      <c r="C55" s="16" t="n">
        <v>40909</v>
      </c>
      <c r="D55" s="0" t="s">
        <v>74</v>
      </c>
      <c r="E55" s="0" t="n">
        <v>4</v>
      </c>
      <c r="F55" s="0" t="s">
        <v>39</v>
      </c>
      <c r="G55" s="0" t="n">
        <v>24</v>
      </c>
      <c r="H55" s="0" t="n">
        <v>10</v>
      </c>
      <c r="I55" s="0" t="n">
        <f aca="false">H55*G55</f>
        <v>240</v>
      </c>
      <c r="J55" s="0" t="n">
        <v>4.89</v>
      </c>
      <c r="L55" s="10" t="n">
        <v>0.18</v>
      </c>
      <c r="M55" s="11" t="n">
        <f aca="false">J55/(1+L55)</f>
        <v>4.14406779661017</v>
      </c>
      <c r="O55" s="0" t="n">
        <v>6.15</v>
      </c>
      <c r="P55" s="17" t="n">
        <f aca="false">(O55-J55)/J55</f>
        <v>0.257668711656442</v>
      </c>
      <c r="Q55" s="0" t="s">
        <v>5</v>
      </c>
      <c r="T55" s="0" t="s">
        <v>74</v>
      </c>
      <c r="U55" s="0" t="n">
        <v>24</v>
      </c>
      <c r="W55" s="0" t="s">
        <v>74</v>
      </c>
    </row>
    <row r="56" customFormat="false" ht="13.8" hidden="false" customHeight="false" outlineLevel="0" collapsed="false">
      <c r="A56" s="0" t="n">
        <v>65</v>
      </c>
      <c r="B56" s="0" t="s">
        <v>32</v>
      </c>
      <c r="C56" s="16" t="n">
        <v>40918</v>
      </c>
      <c r="D56" s="0" t="s">
        <v>74</v>
      </c>
      <c r="E56" s="0" t="n">
        <v>4</v>
      </c>
      <c r="F56" s="0" t="s">
        <v>39</v>
      </c>
      <c r="G56" s="0" t="n">
        <v>24</v>
      </c>
      <c r="H56" s="0" t="n">
        <v>20</v>
      </c>
      <c r="I56" s="0" t="n">
        <f aca="false">H56*G56</f>
        <v>480</v>
      </c>
      <c r="J56" s="0" t="n">
        <v>4.95</v>
      </c>
      <c r="L56" s="10" t="n">
        <v>0.18</v>
      </c>
      <c r="M56" s="11" t="n">
        <f aca="false">J56/(1+L56)</f>
        <v>4.19491525423729</v>
      </c>
      <c r="O56" s="0" t="n">
        <v>6.2</v>
      </c>
      <c r="P56" s="17" t="n">
        <f aca="false">(O56-J56)/J56</f>
        <v>0.252525252525252</v>
      </c>
      <c r="Q56" s="0" t="s">
        <v>8</v>
      </c>
      <c r="T56" s="0" t="s">
        <v>74</v>
      </c>
      <c r="U56" s="0" t="n">
        <v>24</v>
      </c>
      <c r="W56" s="0" t="s">
        <v>74</v>
      </c>
    </row>
    <row r="57" customFormat="false" ht="13.8" hidden="false" customHeight="false" outlineLevel="0" collapsed="false">
      <c r="A57" s="0" t="n">
        <v>74</v>
      </c>
      <c r="B57" s="0" t="s">
        <v>67</v>
      </c>
      <c r="C57" s="16" t="n">
        <v>40921</v>
      </c>
      <c r="D57" s="0" t="s">
        <v>74</v>
      </c>
      <c r="E57" s="0" t="n">
        <v>4</v>
      </c>
      <c r="F57" s="0" t="s">
        <v>39</v>
      </c>
      <c r="G57" s="0" t="n">
        <v>24</v>
      </c>
      <c r="H57" s="0" t="n">
        <v>2</v>
      </c>
      <c r="I57" s="0" t="n">
        <f aca="false">H57*G57</f>
        <v>48</v>
      </c>
      <c r="J57" s="0" t="n">
        <v>6.13</v>
      </c>
      <c r="L57" s="10" t="n">
        <v>0.18</v>
      </c>
      <c r="M57" s="11" t="n">
        <f aca="false">J57/(1+L57)</f>
        <v>5.19491525423729</v>
      </c>
      <c r="O57" s="0" t="n">
        <v>6.2</v>
      </c>
      <c r="P57" s="17" t="n">
        <f aca="false">(O57-J57)/J57</f>
        <v>0.0114192495921697</v>
      </c>
      <c r="Q57" s="0" t="s">
        <v>6</v>
      </c>
      <c r="T57" s="0" t="s">
        <v>74</v>
      </c>
      <c r="U57" s="0" t="n">
        <v>24</v>
      </c>
      <c r="W57" s="0" t="s">
        <v>74</v>
      </c>
    </row>
    <row r="58" customFormat="false" ht="13.8" hidden="false" customHeight="false" outlineLevel="0" collapsed="false">
      <c r="A58" s="0" t="n">
        <v>49</v>
      </c>
      <c r="B58" s="0" t="s">
        <v>29</v>
      </c>
      <c r="C58" s="16" t="n">
        <v>40909</v>
      </c>
      <c r="D58" s="0" t="s">
        <v>75</v>
      </c>
      <c r="E58" s="0" t="n">
        <v>4</v>
      </c>
      <c r="F58" s="0" t="s">
        <v>39</v>
      </c>
      <c r="G58" s="0" t="n">
        <v>24</v>
      </c>
      <c r="H58" s="0" t="n">
        <v>1</v>
      </c>
      <c r="I58" s="0" t="n">
        <f aca="false">H58*G58</f>
        <v>24</v>
      </c>
      <c r="J58" s="0" t="n">
        <v>5.11</v>
      </c>
      <c r="L58" s="10" t="n">
        <v>0.18</v>
      </c>
      <c r="M58" s="11" t="n">
        <f aca="false">J58/(1+L58)</f>
        <v>4.33050847457627</v>
      </c>
      <c r="O58" s="0" t="n">
        <v>6.43</v>
      </c>
      <c r="P58" s="17" t="n">
        <f aca="false">(O58-J58)/J58</f>
        <v>0.258317025440313</v>
      </c>
      <c r="Q58" s="0" t="s">
        <v>5</v>
      </c>
      <c r="T58" s="0" t="s">
        <v>75</v>
      </c>
      <c r="U58" s="0" t="n">
        <v>24</v>
      </c>
      <c r="W58" s="0" t="s">
        <v>75</v>
      </c>
    </row>
    <row r="59" customFormat="false" ht="13.8" hidden="false" customHeight="false" outlineLevel="0" collapsed="false">
      <c r="A59" s="0" t="n">
        <v>66</v>
      </c>
      <c r="B59" s="0" t="s">
        <v>32</v>
      </c>
      <c r="C59" s="16" t="n">
        <v>40918</v>
      </c>
      <c r="D59" s="0" t="s">
        <v>75</v>
      </c>
      <c r="E59" s="0" t="n">
        <v>4</v>
      </c>
      <c r="F59" s="0" t="s">
        <v>39</v>
      </c>
      <c r="G59" s="0" t="n">
        <v>24</v>
      </c>
      <c r="H59" s="0" t="n">
        <v>20</v>
      </c>
      <c r="I59" s="0" t="n">
        <f aca="false">H59*G59</f>
        <v>480</v>
      </c>
      <c r="J59" s="0" t="n">
        <v>5.18</v>
      </c>
      <c r="L59" s="10" t="n">
        <v>0.18</v>
      </c>
      <c r="M59" s="11" t="n">
        <f aca="false">J59/(1+L59)</f>
        <v>4.38983050847458</v>
      </c>
      <c r="O59" s="0" t="n">
        <v>6.48</v>
      </c>
      <c r="P59" s="17" t="n">
        <f aca="false">(O59-J59)/J59</f>
        <v>0.250965250965251</v>
      </c>
      <c r="Q59" s="0" t="s">
        <v>8</v>
      </c>
      <c r="T59" s="0" t="s">
        <v>75</v>
      </c>
      <c r="U59" s="0" t="n">
        <v>24</v>
      </c>
      <c r="W59" s="0" t="s">
        <v>75</v>
      </c>
    </row>
    <row r="60" customFormat="false" ht="13.8" hidden="false" customHeight="false" outlineLevel="0" collapsed="false">
      <c r="A60" s="0" t="n">
        <v>75</v>
      </c>
      <c r="B60" s="0" t="s">
        <v>67</v>
      </c>
      <c r="C60" s="16" t="n">
        <v>40921</v>
      </c>
      <c r="D60" s="0" t="s">
        <v>75</v>
      </c>
      <c r="E60" s="0" t="n">
        <v>4</v>
      </c>
      <c r="F60" s="0" t="s">
        <v>39</v>
      </c>
      <c r="G60" s="0" t="n">
        <v>24</v>
      </c>
      <c r="H60" s="0" t="n">
        <v>2</v>
      </c>
      <c r="I60" s="0" t="n">
        <f aca="false">H60*G60</f>
        <v>48</v>
      </c>
      <c r="J60" s="0" t="n">
        <v>6.27</v>
      </c>
      <c r="L60" s="10" t="n">
        <v>0.18</v>
      </c>
      <c r="M60" s="11" t="n">
        <f aca="false">J60/(1+L60)</f>
        <v>5.3135593220339</v>
      </c>
      <c r="O60" s="0" t="n">
        <v>6.48</v>
      </c>
      <c r="P60" s="17" t="n">
        <f aca="false">(O60-J60)/J60</f>
        <v>0.0334928229665073</v>
      </c>
      <c r="Q60" s="0" t="s">
        <v>6</v>
      </c>
      <c r="T60" s="0" t="s">
        <v>75</v>
      </c>
      <c r="U60" s="0" t="n">
        <v>24</v>
      </c>
      <c r="W60" s="0" t="s">
        <v>75</v>
      </c>
    </row>
    <row r="61" customFormat="false" ht="13.8" hidden="false" customHeight="false" outlineLevel="0" collapsed="false">
      <c r="A61" s="0" t="n">
        <v>94</v>
      </c>
      <c r="B61" s="0" t="s">
        <v>34</v>
      </c>
      <c r="C61" s="16" t="n">
        <v>40937</v>
      </c>
      <c r="D61" s="0" t="s">
        <v>75</v>
      </c>
      <c r="E61" s="0" t="n">
        <v>4</v>
      </c>
      <c r="F61" s="0" t="s">
        <v>39</v>
      </c>
      <c r="G61" s="0" t="n">
        <v>24</v>
      </c>
      <c r="H61" s="0" t="n">
        <v>40</v>
      </c>
      <c r="I61" s="0" t="n">
        <f aca="false">H61*G61</f>
        <v>960</v>
      </c>
      <c r="J61" s="0" t="n">
        <v>5.21</v>
      </c>
      <c r="L61" s="10" t="n">
        <v>0.18</v>
      </c>
      <c r="M61" s="11" t="n">
        <f aca="false">J61/(1+L61)</f>
        <v>4.41525423728814</v>
      </c>
      <c r="O61" s="0" t="n">
        <v>6.5</v>
      </c>
      <c r="P61" s="17" t="n">
        <f aca="false">(O61-J61)/J61</f>
        <v>0.247600767754319</v>
      </c>
      <c r="Q61" s="0" t="s">
        <v>8</v>
      </c>
      <c r="T61" s="0" t="s">
        <v>75</v>
      </c>
      <c r="U61" s="0" t="n">
        <v>24</v>
      </c>
      <c r="W61" s="0" t="s">
        <v>75</v>
      </c>
    </row>
    <row r="62" customFormat="false" ht="13.8" hidden="false" customHeight="false" outlineLevel="0" collapsed="false">
      <c r="A62" s="0" t="n">
        <v>50</v>
      </c>
      <c r="B62" s="0" t="s">
        <v>29</v>
      </c>
      <c r="C62" s="16" t="n">
        <v>40909</v>
      </c>
      <c r="D62" s="0" t="s">
        <v>76</v>
      </c>
      <c r="E62" s="0" t="n">
        <v>4</v>
      </c>
      <c r="F62" s="0" t="s">
        <v>31</v>
      </c>
      <c r="G62" s="0" t="n">
        <v>24</v>
      </c>
      <c r="H62" s="0" t="n">
        <v>10</v>
      </c>
      <c r="I62" s="0" t="n">
        <f aca="false">H62*G62</f>
        <v>240</v>
      </c>
      <c r="J62" s="0" t="n">
        <v>3.83</v>
      </c>
      <c r="L62" s="10" t="n">
        <v>0.18</v>
      </c>
      <c r="M62" s="11" t="n">
        <f aca="false">J62/(1+L62)</f>
        <v>3.24576271186441</v>
      </c>
      <c r="O62" s="0" t="n">
        <v>4.95</v>
      </c>
      <c r="P62" s="17" t="n">
        <f aca="false">(O62-J62)/J62</f>
        <v>0.29242819843342</v>
      </c>
      <c r="Q62" s="0" t="s">
        <v>5</v>
      </c>
      <c r="T62" s="0" t="s">
        <v>76</v>
      </c>
      <c r="U62" s="0" t="n">
        <v>24</v>
      </c>
      <c r="W62" s="0" t="s">
        <v>76</v>
      </c>
    </row>
    <row r="63" customFormat="false" ht="13.8" hidden="false" customHeight="false" outlineLevel="0" collapsed="false">
      <c r="A63" s="0" t="n">
        <v>51</v>
      </c>
      <c r="B63" s="0" t="s">
        <v>29</v>
      </c>
      <c r="C63" s="16" t="n">
        <v>40909</v>
      </c>
      <c r="D63" s="0" t="s">
        <v>77</v>
      </c>
      <c r="E63" s="0" t="n">
        <v>4</v>
      </c>
      <c r="F63" s="0" t="s">
        <v>39</v>
      </c>
      <c r="G63" s="0" t="n">
        <v>24</v>
      </c>
      <c r="H63" s="0" t="n">
        <v>15</v>
      </c>
      <c r="I63" s="0" t="n">
        <f aca="false">H63*G63</f>
        <v>360</v>
      </c>
      <c r="J63" s="0" t="n">
        <v>3.33</v>
      </c>
      <c r="L63" s="10" t="n">
        <v>0.18</v>
      </c>
      <c r="M63" s="11" t="n">
        <f aca="false">J63/(1+L63)</f>
        <v>2.82203389830508</v>
      </c>
      <c r="O63" s="0" t="n">
        <v>4.2</v>
      </c>
      <c r="P63" s="17" t="n">
        <f aca="false">(O63-J63)/J63</f>
        <v>0.261261261261261</v>
      </c>
      <c r="Q63" s="0" t="s">
        <v>5</v>
      </c>
      <c r="T63" s="0" t="s">
        <v>77</v>
      </c>
      <c r="U63" s="0" t="n">
        <v>24</v>
      </c>
      <c r="W63" s="0" t="s">
        <v>77</v>
      </c>
    </row>
    <row r="64" customFormat="false" ht="13.8" hidden="false" customHeight="false" outlineLevel="0" collapsed="false">
      <c r="A64" s="0" t="n">
        <v>67</v>
      </c>
      <c r="B64" s="0" t="s">
        <v>32</v>
      </c>
      <c r="C64" s="16" t="n">
        <v>40918</v>
      </c>
      <c r="D64" s="0" t="s">
        <v>77</v>
      </c>
      <c r="E64" s="0" t="n">
        <v>4</v>
      </c>
      <c r="F64" s="0" t="s">
        <v>39</v>
      </c>
      <c r="G64" s="0" t="n">
        <v>24</v>
      </c>
      <c r="H64" s="0" t="n">
        <v>126</v>
      </c>
      <c r="I64" s="0" t="n">
        <f aca="false">H64*G64</f>
        <v>3024</v>
      </c>
      <c r="J64" s="0" t="n">
        <v>3.38</v>
      </c>
      <c r="L64" s="10" t="n">
        <v>0.18</v>
      </c>
      <c r="M64" s="11" t="n">
        <f aca="false">J64/(1+L64)</f>
        <v>2.86440677966102</v>
      </c>
      <c r="O64" s="0" t="n">
        <v>4.23</v>
      </c>
      <c r="P64" s="17" t="n">
        <f aca="false">(O64-J64)/J64</f>
        <v>0.251479289940829</v>
      </c>
      <c r="Q64" s="0" t="s">
        <v>8</v>
      </c>
      <c r="T64" s="0" t="s">
        <v>77</v>
      </c>
      <c r="U64" s="0" t="n">
        <v>24</v>
      </c>
      <c r="W64" s="0" t="s">
        <v>77</v>
      </c>
    </row>
    <row r="65" customFormat="false" ht="13.8" hidden="false" customHeight="false" outlineLevel="0" collapsed="false">
      <c r="A65" s="0" t="n">
        <v>80</v>
      </c>
      <c r="B65" s="0" t="s">
        <v>33</v>
      </c>
      <c r="C65" s="16" t="n">
        <v>40924</v>
      </c>
      <c r="D65" s="0" t="s">
        <v>77</v>
      </c>
      <c r="E65" s="0" t="n">
        <v>4</v>
      </c>
      <c r="F65" s="0" t="s">
        <v>39</v>
      </c>
      <c r="G65" s="0" t="n">
        <v>24</v>
      </c>
      <c r="H65" s="0" t="n">
        <v>2</v>
      </c>
      <c r="I65" s="0" t="n">
        <f aca="false">H65*G65</f>
        <v>48</v>
      </c>
      <c r="J65" s="0" t="n">
        <v>4.2</v>
      </c>
      <c r="L65" s="10" t="n">
        <v>0.18</v>
      </c>
      <c r="M65" s="11" t="n">
        <f aca="false">J65/(1+L65)</f>
        <v>3.55932203389831</v>
      </c>
      <c r="O65" s="0" t="n">
        <v>4.2</v>
      </c>
      <c r="P65" s="17" t="n">
        <f aca="false">(O65-J65)/J65</f>
        <v>0</v>
      </c>
      <c r="Q65" s="0" t="s">
        <v>4</v>
      </c>
      <c r="T65" s="0" t="s">
        <v>77</v>
      </c>
      <c r="U65" s="0" t="n">
        <v>24</v>
      </c>
      <c r="W65" s="0" t="s">
        <v>77</v>
      </c>
    </row>
    <row r="66" customFormat="false" ht="13.8" hidden="false" customHeight="false" outlineLevel="0" collapsed="false">
      <c r="A66" s="0" t="n">
        <v>52</v>
      </c>
      <c r="B66" s="0" t="s">
        <v>29</v>
      </c>
      <c r="C66" s="16" t="n">
        <v>40909</v>
      </c>
      <c r="D66" s="0" t="s">
        <v>78</v>
      </c>
      <c r="E66" s="0" t="n">
        <v>4</v>
      </c>
      <c r="F66" s="0" t="s">
        <v>31</v>
      </c>
      <c r="G66" s="0" t="n">
        <v>24</v>
      </c>
      <c r="H66" s="0" t="n">
        <v>2</v>
      </c>
      <c r="I66" s="0" t="n">
        <f aca="false">H66*G66</f>
        <v>48</v>
      </c>
      <c r="J66" s="0" t="n">
        <v>3.33</v>
      </c>
      <c r="L66" s="10" t="n">
        <v>0.18</v>
      </c>
      <c r="M66" s="11" t="n">
        <f aca="false">J66/(1+L66)</f>
        <v>2.82203389830508</v>
      </c>
      <c r="O66" s="0" t="n">
        <v>4.2</v>
      </c>
      <c r="P66" s="17" t="n">
        <f aca="false">(O66-J66)/J66</f>
        <v>0.261261261261261</v>
      </c>
      <c r="Q66" s="0" t="s">
        <v>5</v>
      </c>
      <c r="T66" s="0" t="s">
        <v>78</v>
      </c>
      <c r="U66" s="0" t="n">
        <v>24</v>
      </c>
      <c r="W66" s="0" t="s">
        <v>78</v>
      </c>
    </row>
    <row r="67" customFormat="false" ht="13.8" hidden="false" customHeight="false" outlineLevel="0" collapsed="false">
      <c r="A67" s="0" t="n">
        <v>68</v>
      </c>
      <c r="B67" s="0" t="s">
        <v>32</v>
      </c>
      <c r="C67" s="16" t="n">
        <v>40918</v>
      </c>
      <c r="D67" s="0" t="s">
        <v>78</v>
      </c>
      <c r="E67" s="0" t="n">
        <v>4</v>
      </c>
      <c r="F67" s="0" t="s">
        <v>31</v>
      </c>
      <c r="G67" s="0" t="n">
        <v>24</v>
      </c>
      <c r="H67" s="0" t="n">
        <v>72</v>
      </c>
      <c r="I67" s="0" t="n">
        <f aca="false">H67*G67</f>
        <v>1728</v>
      </c>
      <c r="J67" s="0" t="n">
        <v>3.38</v>
      </c>
      <c r="L67" s="10" t="n">
        <v>0.18</v>
      </c>
      <c r="M67" s="11" t="n">
        <f aca="false">J67/(1+L67)</f>
        <v>2.86440677966102</v>
      </c>
      <c r="O67" s="0" t="n">
        <v>4.23</v>
      </c>
      <c r="P67" s="17" t="n">
        <f aca="false">(O67-J67)/J67</f>
        <v>0.251479289940829</v>
      </c>
      <c r="Q67" s="0" t="s">
        <v>8</v>
      </c>
      <c r="T67" s="0" t="s">
        <v>78</v>
      </c>
      <c r="U67" s="0" t="n">
        <v>24</v>
      </c>
      <c r="W67" s="0" t="s">
        <v>78</v>
      </c>
    </row>
    <row r="68" customFormat="false" ht="13.8" hidden="false" customHeight="false" outlineLevel="0" collapsed="false">
      <c r="A68" s="0" t="n">
        <v>95</v>
      </c>
      <c r="B68" s="0" t="s">
        <v>34</v>
      </c>
      <c r="C68" s="16" t="n">
        <v>40937</v>
      </c>
      <c r="D68" s="0" t="s">
        <v>78</v>
      </c>
      <c r="E68" s="0" t="n">
        <v>4</v>
      </c>
      <c r="F68" s="0" t="s">
        <v>31</v>
      </c>
      <c r="G68" s="0" t="n">
        <v>24</v>
      </c>
      <c r="H68" s="0" t="n">
        <v>72</v>
      </c>
      <c r="I68" s="0" t="n">
        <f aca="false">H68*G68</f>
        <v>1728</v>
      </c>
      <c r="J68" s="0" t="n">
        <v>3.4</v>
      </c>
      <c r="L68" s="10" t="n">
        <v>0.18</v>
      </c>
      <c r="M68" s="11" t="n">
        <f aca="false">J68/(1+L68)</f>
        <v>2.88135593220339</v>
      </c>
      <c r="O68" s="0" t="n">
        <v>4.25</v>
      </c>
      <c r="P68" s="17" t="n">
        <f aca="false">(O68-J68)/J68</f>
        <v>0.25</v>
      </c>
      <c r="Q68" s="0" t="s">
        <v>8</v>
      </c>
      <c r="T68" s="0" t="s">
        <v>78</v>
      </c>
      <c r="U68" s="0" t="n">
        <v>24</v>
      </c>
      <c r="W68" s="0" t="s">
        <v>78</v>
      </c>
    </row>
    <row r="69" customFormat="false" ht="13.8" hidden="false" customHeight="false" outlineLevel="0" collapsed="false">
      <c r="A69" s="0" t="n">
        <v>104</v>
      </c>
      <c r="B69" s="0" t="s">
        <v>36</v>
      </c>
      <c r="C69" s="16" t="n">
        <v>40971</v>
      </c>
      <c r="D69" s="0" t="s">
        <v>79</v>
      </c>
      <c r="E69" s="0" t="n">
        <v>4</v>
      </c>
      <c r="F69" s="0" t="s">
        <v>39</v>
      </c>
      <c r="G69" s="0" t="n">
        <v>24</v>
      </c>
      <c r="H69" s="0" t="n">
        <v>20</v>
      </c>
      <c r="I69" s="0" t="n">
        <f aca="false">H69*G69</f>
        <v>480</v>
      </c>
      <c r="J69" s="0" t="n">
        <v>4.16</v>
      </c>
      <c r="L69" s="10" t="n">
        <v>0.18</v>
      </c>
      <c r="M69" s="11" t="n">
        <f aca="false">J69/(1+L69)</f>
        <v>3.52542372881356</v>
      </c>
      <c r="O69" s="0" t="n">
        <v>5.25</v>
      </c>
      <c r="P69" s="17" t="n">
        <f aca="false">(O69-J69)/J69</f>
        <v>0.262019230769231</v>
      </c>
      <c r="Q69" s="0" t="s">
        <v>10</v>
      </c>
      <c r="T69" s="0" t="s">
        <v>79</v>
      </c>
      <c r="U69" s="0" t="n">
        <v>24</v>
      </c>
      <c r="W69" s="0" t="s">
        <v>79</v>
      </c>
    </row>
    <row r="70" customFormat="false" ht="13.8" hidden="false" customHeight="false" outlineLevel="0" collapsed="false">
      <c r="A70" s="0" t="n">
        <v>105</v>
      </c>
      <c r="B70" s="0" t="s">
        <v>36</v>
      </c>
      <c r="C70" s="16" t="n">
        <v>40971</v>
      </c>
      <c r="D70" s="0" t="s">
        <v>80</v>
      </c>
      <c r="E70" s="0" t="n">
        <v>4</v>
      </c>
      <c r="F70" s="0" t="s">
        <v>31</v>
      </c>
      <c r="G70" s="0" t="n">
        <v>12</v>
      </c>
      <c r="H70" s="0" t="n">
        <v>50</v>
      </c>
      <c r="I70" s="0" t="n">
        <f aca="false">H70*G70</f>
        <v>600</v>
      </c>
      <c r="J70" s="0" t="n">
        <v>7.98</v>
      </c>
      <c r="L70" s="10" t="n">
        <v>0.18</v>
      </c>
      <c r="M70" s="11" t="n">
        <f aca="false">J70/(1+L70)</f>
        <v>6.76271186440678</v>
      </c>
      <c r="O70" s="0" t="n">
        <v>9.98</v>
      </c>
      <c r="P70" s="17" t="n">
        <f aca="false">(O70-J70)/J70</f>
        <v>0.25062656641604</v>
      </c>
      <c r="Q70" s="0" t="s">
        <v>10</v>
      </c>
      <c r="T70" s="0" t="s">
        <v>80</v>
      </c>
      <c r="U70" s="0" t="n">
        <v>12</v>
      </c>
      <c r="W70" s="0" t="s">
        <v>80</v>
      </c>
    </row>
    <row r="71" customFormat="false" ht="13.8" hidden="false" customHeight="false" outlineLevel="0" collapsed="false">
      <c r="A71" s="0" t="n">
        <v>8</v>
      </c>
      <c r="B71" s="0" t="s">
        <v>29</v>
      </c>
      <c r="C71" s="16" t="n">
        <v>40909</v>
      </c>
      <c r="D71" s="0" t="s">
        <v>81</v>
      </c>
      <c r="E71" s="0" t="n">
        <v>1</v>
      </c>
      <c r="F71" s="0" t="s">
        <v>39</v>
      </c>
      <c r="G71" s="0" t="n">
        <v>12</v>
      </c>
      <c r="H71" s="0" t="n">
        <v>10</v>
      </c>
      <c r="I71" s="0" t="n">
        <f aca="false">H71*G71</f>
        <v>120</v>
      </c>
      <c r="J71" s="0" t="n">
        <v>3.1</v>
      </c>
      <c r="L71" s="10" t="n">
        <v>0.18</v>
      </c>
      <c r="M71" s="11" t="n">
        <f aca="false">J71/(1+L71)</f>
        <v>2.6271186440678</v>
      </c>
      <c r="O71" s="0" t="n">
        <v>3.3</v>
      </c>
      <c r="P71" s="17" t="n">
        <f aca="false">(O71-J71)/J71</f>
        <v>0.064516129032258</v>
      </c>
      <c r="Q71" s="0" t="s">
        <v>5</v>
      </c>
      <c r="T71" s="0" t="s">
        <v>81</v>
      </c>
      <c r="U71" s="0" t="n">
        <v>12</v>
      </c>
      <c r="W71" s="0" t="s">
        <v>81</v>
      </c>
    </row>
    <row r="72" customFormat="false" ht="13.8" hidden="false" customHeight="false" outlineLevel="0" collapsed="false">
      <c r="A72" s="0" t="n">
        <v>85</v>
      </c>
      <c r="B72" s="0" t="s">
        <v>47</v>
      </c>
      <c r="C72" s="16" t="n">
        <v>40935</v>
      </c>
      <c r="D72" s="0" t="s">
        <v>81</v>
      </c>
      <c r="E72" s="0" t="n">
        <v>5</v>
      </c>
      <c r="F72" s="0" t="s">
        <v>39</v>
      </c>
      <c r="G72" s="0" t="n">
        <v>12</v>
      </c>
      <c r="H72" s="0" t="n">
        <v>217</v>
      </c>
      <c r="I72" s="0" t="n">
        <f aca="false">H72*G72</f>
        <v>2604</v>
      </c>
      <c r="J72" s="0" t="n">
        <v>3.3</v>
      </c>
      <c r="L72" s="10" t="n">
        <v>0.18</v>
      </c>
      <c r="M72" s="11" t="n">
        <f aca="false">J72/(1+L72)</f>
        <v>2.79661016949153</v>
      </c>
      <c r="O72" s="0" t="n">
        <v>4.5</v>
      </c>
      <c r="P72" s="17" t="n">
        <f aca="false">(O72-J72)/J72</f>
        <v>0.363636363636364</v>
      </c>
      <c r="Q72" s="0" t="s">
        <v>11</v>
      </c>
      <c r="T72" s="0" t="s">
        <v>81</v>
      </c>
      <c r="U72" s="0" t="n">
        <v>12</v>
      </c>
      <c r="W72" s="0" t="s">
        <v>81</v>
      </c>
    </row>
    <row r="73" customFormat="false" ht="13.8" hidden="false" customHeight="false" outlineLevel="0" collapsed="false">
      <c r="A73" s="0" t="n">
        <v>9</v>
      </c>
      <c r="B73" s="0" t="s">
        <v>29</v>
      </c>
      <c r="C73" s="16" t="n">
        <v>40909</v>
      </c>
      <c r="D73" s="0" t="s">
        <v>82</v>
      </c>
      <c r="E73" s="0" t="n">
        <v>1</v>
      </c>
      <c r="F73" s="0" t="s">
        <v>39</v>
      </c>
      <c r="G73" s="0" t="n">
        <v>1</v>
      </c>
      <c r="H73" s="0" t="n">
        <v>12</v>
      </c>
      <c r="I73" s="0" t="n">
        <f aca="false">H73*G73</f>
        <v>12</v>
      </c>
      <c r="J73" s="0" t="n">
        <v>8.69</v>
      </c>
      <c r="L73" s="10" t="n">
        <v>0.18</v>
      </c>
      <c r="M73" s="11" t="n">
        <f aca="false">J73/(1+L73)</f>
        <v>7.36440677966102</v>
      </c>
      <c r="O73" s="0" t="n">
        <v>10.3</v>
      </c>
      <c r="P73" s="17" t="n">
        <f aca="false">(O73-J73)/J73</f>
        <v>0.185270425776755</v>
      </c>
      <c r="Q73" s="0" t="s">
        <v>5</v>
      </c>
      <c r="T73" s="0" t="s">
        <v>82</v>
      </c>
      <c r="U73" s="0" t="n">
        <v>1</v>
      </c>
      <c r="W73" s="0" t="s">
        <v>82</v>
      </c>
    </row>
    <row r="74" customFormat="false" ht="13.8" hidden="false" customHeight="false" outlineLevel="0" collapsed="false">
      <c r="A74" s="0" t="n">
        <v>69</v>
      </c>
      <c r="B74" s="0" t="s">
        <v>32</v>
      </c>
      <c r="C74" s="16" t="n">
        <v>40918</v>
      </c>
      <c r="D74" s="0" t="s">
        <v>83</v>
      </c>
      <c r="E74" s="0" t="n">
        <v>4</v>
      </c>
      <c r="F74" s="0" t="s">
        <v>31</v>
      </c>
      <c r="G74" s="0" t="n">
        <v>24</v>
      </c>
      <c r="H74" s="0" t="n">
        <v>15</v>
      </c>
      <c r="I74" s="0" t="n">
        <f aca="false">H74*G74</f>
        <v>360</v>
      </c>
      <c r="J74" s="0" t="n">
        <v>3.83</v>
      </c>
      <c r="L74" s="10" t="n">
        <v>0.18</v>
      </c>
      <c r="M74" s="11" t="n">
        <f aca="false">J74/(1+L74)</f>
        <v>3.24576271186441</v>
      </c>
      <c r="O74" s="0" t="n">
        <v>4.8</v>
      </c>
      <c r="P74" s="17" t="n">
        <f aca="false">(O74-J74)/J74</f>
        <v>0.253263707571801</v>
      </c>
      <c r="Q74" s="0" t="s">
        <v>8</v>
      </c>
      <c r="T74" s="0" t="s">
        <v>83</v>
      </c>
      <c r="U74" s="0" t="n">
        <v>24</v>
      </c>
      <c r="W74" s="0" t="s">
        <v>83</v>
      </c>
    </row>
    <row r="75" customFormat="false" ht="13.8" hidden="false" customHeight="false" outlineLevel="0" collapsed="false">
      <c r="A75" s="0" t="n">
        <v>70</v>
      </c>
      <c r="B75" s="0" t="s">
        <v>32</v>
      </c>
      <c r="C75" s="16" t="n">
        <v>40918</v>
      </c>
      <c r="D75" s="0" t="s">
        <v>84</v>
      </c>
      <c r="E75" s="0" t="n">
        <v>4</v>
      </c>
      <c r="F75" s="0" t="s">
        <v>39</v>
      </c>
      <c r="G75" s="0" t="n">
        <v>6</v>
      </c>
      <c r="H75" s="0" t="n">
        <v>50</v>
      </c>
      <c r="I75" s="0" t="n">
        <f aca="false">H75*G75</f>
        <v>300</v>
      </c>
      <c r="J75" s="0" t="n">
        <v>16.61</v>
      </c>
      <c r="L75" s="10" t="n">
        <v>0.18</v>
      </c>
      <c r="M75" s="11" t="n">
        <f aca="false">J75/(1+L75)</f>
        <v>14.0762711864407</v>
      </c>
      <c r="O75" s="0" t="n">
        <v>20.77</v>
      </c>
      <c r="P75" s="17" t="n">
        <f aca="false">(O75-J75)/J75</f>
        <v>0.250451535219747</v>
      </c>
      <c r="Q75" s="0" t="s">
        <v>8</v>
      </c>
      <c r="T75" s="0" t="s">
        <v>84</v>
      </c>
      <c r="U75" s="0" t="n">
        <v>6</v>
      </c>
      <c r="W75" s="0" t="s">
        <v>84</v>
      </c>
    </row>
    <row r="76" customFormat="false" ht="13.8" hidden="false" customHeight="false" outlineLevel="0" collapsed="false">
      <c r="A76" s="0" t="n">
        <v>31</v>
      </c>
      <c r="B76" s="0" t="s">
        <v>29</v>
      </c>
      <c r="C76" s="16" t="n">
        <v>40909</v>
      </c>
      <c r="D76" s="0" t="s">
        <v>85</v>
      </c>
      <c r="E76" s="0" t="n">
        <v>2</v>
      </c>
      <c r="F76" s="0" t="s">
        <v>59</v>
      </c>
      <c r="G76" s="0" t="n">
        <v>1</v>
      </c>
      <c r="H76" s="0" t="n">
        <v>2620</v>
      </c>
      <c r="I76" s="0" t="n">
        <f aca="false">H76*G76</f>
        <v>2620</v>
      </c>
      <c r="J76" s="0" t="n">
        <v>1.71</v>
      </c>
      <c r="L76" s="10" t="n">
        <v>0.18</v>
      </c>
      <c r="M76" s="11" t="n">
        <f aca="false">J76/(1+L76)</f>
        <v>1.44915254237288</v>
      </c>
      <c r="O76" s="0" t="n">
        <v>2.05</v>
      </c>
      <c r="P76" s="17" t="n">
        <f aca="false">(O76-J76)/J76</f>
        <v>0.198830409356725</v>
      </c>
      <c r="Q76" s="0" t="s">
        <v>5</v>
      </c>
      <c r="T76" s="0" t="s">
        <v>85</v>
      </c>
      <c r="U76" s="0" t="n">
        <v>1</v>
      </c>
      <c r="W76" s="0" t="s">
        <v>85</v>
      </c>
    </row>
    <row r="77" customFormat="false" ht="13.8" hidden="false" customHeight="false" outlineLevel="0" collapsed="false">
      <c r="A77" s="0" t="n">
        <v>82</v>
      </c>
      <c r="B77" s="0" t="s">
        <v>86</v>
      </c>
      <c r="C77" s="16" t="n">
        <v>40929</v>
      </c>
      <c r="D77" s="0" t="s">
        <v>87</v>
      </c>
      <c r="E77" s="0" t="n">
        <v>5</v>
      </c>
      <c r="F77" s="0" t="s">
        <v>39</v>
      </c>
      <c r="G77" s="0" t="n">
        <v>1</v>
      </c>
      <c r="H77" s="0" t="n">
        <v>264</v>
      </c>
      <c r="I77" s="0" t="n">
        <f aca="false">H77*G77</f>
        <v>264</v>
      </c>
      <c r="J77" s="0" t="n">
        <v>4.5</v>
      </c>
      <c r="L77" s="10" t="n">
        <v>0.18</v>
      </c>
      <c r="M77" s="11" t="n">
        <f aca="false">J77/(1+L77)</f>
        <v>3.8135593220339</v>
      </c>
      <c r="O77" s="0" t="n">
        <v>4.5</v>
      </c>
      <c r="P77" s="17" t="n">
        <f aca="false">(O77-J77)/J77</f>
        <v>0</v>
      </c>
      <c r="Q77" s="0" t="s">
        <v>6</v>
      </c>
      <c r="T77" s="0" t="s">
        <v>87</v>
      </c>
      <c r="U77" s="0" t="n">
        <v>1</v>
      </c>
      <c r="W77" s="0" t="s">
        <v>87</v>
      </c>
    </row>
    <row r="78" customFormat="false" ht="13.8" hidden="false" customHeight="false" outlineLevel="0" collapsed="false">
      <c r="A78" s="0" t="n">
        <v>10</v>
      </c>
      <c r="B78" s="0" t="s">
        <v>29</v>
      </c>
      <c r="C78" s="16" t="n">
        <v>40909</v>
      </c>
      <c r="D78" s="0" t="s">
        <v>88</v>
      </c>
      <c r="E78" s="0" t="n">
        <v>2</v>
      </c>
      <c r="F78" s="0" t="s">
        <v>59</v>
      </c>
      <c r="G78" s="0" t="n">
        <v>1</v>
      </c>
      <c r="H78" s="0" t="n">
        <v>154</v>
      </c>
      <c r="I78" s="0" t="n">
        <f aca="false">H78*G78</f>
        <v>154</v>
      </c>
      <c r="J78" s="0" t="n">
        <v>5.42</v>
      </c>
      <c r="L78" s="10" t="n">
        <v>0.18</v>
      </c>
      <c r="M78" s="11" t="n">
        <f aca="false">J78/(1+L78)</f>
        <v>4.59322033898305</v>
      </c>
      <c r="O78" s="0" t="n">
        <v>6.5</v>
      </c>
      <c r="P78" s="17" t="n">
        <f aca="false">(O78-J78)/J78</f>
        <v>0.199261992619926</v>
      </c>
      <c r="Q78" s="0" t="s">
        <v>5</v>
      </c>
      <c r="T78" s="0" t="s">
        <v>88</v>
      </c>
      <c r="U78" s="0" t="n">
        <v>1</v>
      </c>
      <c r="W78" s="0" t="s">
        <v>88</v>
      </c>
    </row>
    <row r="79" customFormat="false" ht="13.8" hidden="false" customHeight="false" outlineLevel="0" collapsed="false">
      <c r="A79" s="0" t="n">
        <v>11</v>
      </c>
      <c r="B79" s="0" t="s">
        <v>29</v>
      </c>
      <c r="C79" s="16" t="n">
        <v>40909</v>
      </c>
      <c r="D79" s="0" t="s">
        <v>89</v>
      </c>
      <c r="E79" s="0" t="n">
        <v>1</v>
      </c>
      <c r="F79" s="0" t="s">
        <v>39</v>
      </c>
      <c r="G79" s="0" t="n">
        <v>1</v>
      </c>
      <c r="H79" s="0" t="n">
        <v>128</v>
      </c>
      <c r="I79" s="0" t="n">
        <f aca="false">H79*G79</f>
        <v>128</v>
      </c>
      <c r="J79" s="0" t="n">
        <v>15.2</v>
      </c>
      <c r="L79" s="10" t="n">
        <v>0.18</v>
      </c>
      <c r="M79" s="11" t="n">
        <f aca="false">J79/(1+L79)</f>
        <v>12.8813559322034</v>
      </c>
      <c r="O79" s="0" t="n">
        <v>17.7</v>
      </c>
      <c r="P79" s="17" t="n">
        <f aca="false">(O79-J79)/J79</f>
        <v>0.164473684210526</v>
      </c>
      <c r="Q79" s="0" t="s">
        <v>5</v>
      </c>
      <c r="T79" s="0" t="s">
        <v>89</v>
      </c>
      <c r="U79" s="0" t="n">
        <v>1</v>
      </c>
      <c r="W79" s="0" t="s">
        <v>89</v>
      </c>
    </row>
    <row r="80" customFormat="false" ht="13.8" hidden="false" customHeight="false" outlineLevel="0" collapsed="false">
      <c r="A80" s="0" t="n">
        <v>12</v>
      </c>
      <c r="B80" s="0" t="s">
        <v>29</v>
      </c>
      <c r="C80" s="16" t="n">
        <v>40909</v>
      </c>
      <c r="D80" s="0" t="s">
        <v>90</v>
      </c>
      <c r="E80" s="0" t="n">
        <v>1</v>
      </c>
      <c r="F80" s="0" t="s">
        <v>39</v>
      </c>
      <c r="G80" s="0" t="n">
        <v>1</v>
      </c>
      <c r="H80" s="0" t="n">
        <v>17</v>
      </c>
      <c r="I80" s="0" t="n">
        <f aca="false">H80*G80</f>
        <v>17</v>
      </c>
      <c r="J80" s="0" t="n">
        <v>11.87</v>
      </c>
      <c r="L80" s="10" t="n">
        <v>0.18</v>
      </c>
      <c r="M80" s="11" t="n">
        <f aca="false">J80/(1+L80)</f>
        <v>10.0593220338983</v>
      </c>
      <c r="O80" s="0" t="n">
        <v>14.85</v>
      </c>
      <c r="P80" s="17" t="n">
        <f aca="false">(O80-J80)/J80</f>
        <v>0.251053074978938</v>
      </c>
      <c r="Q80" s="0" t="s">
        <v>5</v>
      </c>
      <c r="T80" s="0" t="s">
        <v>90</v>
      </c>
      <c r="U80" s="0" t="n">
        <v>1</v>
      </c>
      <c r="W80" s="0" t="s">
        <v>90</v>
      </c>
    </row>
    <row r="81" customFormat="false" ht="13.8" hidden="false" customHeight="false" outlineLevel="0" collapsed="false">
      <c r="A81" s="0" t="n">
        <v>117</v>
      </c>
      <c r="B81" s="0" t="s">
        <v>49</v>
      </c>
      <c r="C81" s="16" t="n">
        <v>40996</v>
      </c>
      <c r="D81" s="0" t="s">
        <v>91</v>
      </c>
      <c r="E81" s="0" t="n">
        <v>1</v>
      </c>
      <c r="F81" s="0" t="s">
        <v>92</v>
      </c>
      <c r="G81" s="0" t="n">
        <v>12</v>
      </c>
      <c r="H81" s="0" t="n">
        <v>64</v>
      </c>
      <c r="I81" s="0" t="n">
        <f aca="false">H81*G81</f>
        <v>768</v>
      </c>
      <c r="J81" s="0" t="n">
        <v>4.18</v>
      </c>
      <c r="L81" s="10" t="n">
        <v>0.18</v>
      </c>
      <c r="M81" s="11" t="n">
        <f aca="false">J81/(1+L81)</f>
        <v>3.54237288135593</v>
      </c>
      <c r="O81" s="0" t="n">
        <v>5</v>
      </c>
      <c r="P81" s="17" t="n">
        <f aca="false">(O81-J81)/J81</f>
        <v>0.196172248803828</v>
      </c>
      <c r="Q81" s="0" t="s">
        <v>7</v>
      </c>
      <c r="T81" s="0" t="s">
        <v>91</v>
      </c>
      <c r="U81" s="0" t="n">
        <v>12</v>
      </c>
      <c r="W81" s="0" t="s">
        <v>91</v>
      </c>
    </row>
    <row r="82" customFormat="false" ht="13.8" hidden="false" customHeight="false" outlineLevel="0" collapsed="false">
      <c r="A82" s="0" t="n">
        <v>114</v>
      </c>
      <c r="B82" s="0" t="s">
        <v>49</v>
      </c>
      <c r="C82" s="16" t="n">
        <v>40995</v>
      </c>
      <c r="D82" s="0" t="s">
        <v>93</v>
      </c>
      <c r="E82" s="0" t="n">
        <v>1</v>
      </c>
      <c r="F82" s="0" t="s">
        <v>92</v>
      </c>
      <c r="G82" s="0" t="n">
        <v>12</v>
      </c>
      <c r="H82" s="0" t="n">
        <v>19</v>
      </c>
      <c r="I82" s="0" t="n">
        <f aca="false">H82*G82</f>
        <v>228</v>
      </c>
      <c r="J82" s="0" t="n">
        <v>4.18</v>
      </c>
      <c r="L82" s="10" t="n">
        <v>0.18</v>
      </c>
      <c r="M82" s="11" t="n">
        <f aca="false">J82/(1+L82)</f>
        <v>3.54237288135593</v>
      </c>
      <c r="O82" s="0" t="n">
        <v>5.23</v>
      </c>
      <c r="P82" s="17" t="n">
        <f aca="false">(O82-J82)/J82</f>
        <v>0.251196172248804</v>
      </c>
      <c r="Q82" s="0" t="s">
        <v>7</v>
      </c>
      <c r="T82" s="0" t="s">
        <v>93</v>
      </c>
      <c r="U82" s="0" t="n">
        <v>12</v>
      </c>
      <c r="W82" s="0" t="s">
        <v>93</v>
      </c>
    </row>
    <row r="83" customFormat="false" ht="13.8" hidden="false" customHeight="false" outlineLevel="0" collapsed="false">
      <c r="A83" s="0" t="n">
        <v>115</v>
      </c>
      <c r="B83" s="0" t="s">
        <v>49</v>
      </c>
      <c r="C83" s="16" t="n">
        <v>40995</v>
      </c>
      <c r="D83" s="0" t="s">
        <v>94</v>
      </c>
      <c r="E83" s="0" t="n">
        <v>1</v>
      </c>
      <c r="F83" s="0" t="s">
        <v>92</v>
      </c>
      <c r="G83" s="0" t="n">
        <v>12</v>
      </c>
      <c r="H83" s="0" t="n">
        <v>160</v>
      </c>
      <c r="I83" s="0" t="n">
        <f aca="false">H83*G83</f>
        <v>1920</v>
      </c>
      <c r="J83" s="0" t="n">
        <v>4.18</v>
      </c>
      <c r="L83" s="10" t="n">
        <v>0.18</v>
      </c>
      <c r="M83" s="11" t="n">
        <f aca="false">J83/(1+L83)</f>
        <v>3.54237288135593</v>
      </c>
      <c r="O83" s="0" t="n">
        <v>5.23</v>
      </c>
      <c r="P83" s="17" t="n">
        <f aca="false">(O83-J83)/J83</f>
        <v>0.251196172248804</v>
      </c>
      <c r="Q83" s="0" t="s">
        <v>7</v>
      </c>
      <c r="T83" s="0" t="s">
        <v>94</v>
      </c>
      <c r="U83" s="0" t="n">
        <v>12</v>
      </c>
      <c r="W83" s="0" t="s">
        <v>94</v>
      </c>
    </row>
    <row r="84" customFormat="false" ht="13.8" hidden="false" customHeight="false" outlineLevel="0" collapsed="false">
      <c r="A84" s="0" t="n">
        <v>116</v>
      </c>
      <c r="B84" s="0" t="s">
        <v>49</v>
      </c>
      <c r="C84" s="16" t="n">
        <v>40995</v>
      </c>
      <c r="D84" s="0" t="s">
        <v>95</v>
      </c>
      <c r="E84" s="0" t="n">
        <v>1</v>
      </c>
      <c r="F84" s="0" t="s">
        <v>92</v>
      </c>
      <c r="G84" s="0" t="n">
        <v>12</v>
      </c>
      <c r="H84" s="0" t="n">
        <v>100</v>
      </c>
      <c r="I84" s="0" t="n">
        <f aca="false">H84*G84</f>
        <v>1200</v>
      </c>
      <c r="J84" s="0" t="n">
        <v>4.18</v>
      </c>
      <c r="L84" s="10" t="n">
        <v>0.18</v>
      </c>
      <c r="M84" s="11" t="n">
        <f aca="false">J84/(1+L84)</f>
        <v>3.54237288135593</v>
      </c>
      <c r="O84" s="0" t="n">
        <v>5.23</v>
      </c>
      <c r="P84" s="17" t="n">
        <f aca="false">(O84-J84)/J84</f>
        <v>0.251196172248804</v>
      </c>
      <c r="Q84" s="0" t="s">
        <v>7</v>
      </c>
      <c r="T84" s="0" t="s">
        <v>95</v>
      </c>
      <c r="U84" s="0" t="n">
        <v>12</v>
      </c>
      <c r="W84" s="0" t="s">
        <v>95</v>
      </c>
    </row>
    <row r="85" customFormat="false" ht="13.8" hidden="false" customHeight="false" outlineLevel="0" collapsed="false">
      <c r="A85" s="0" t="n">
        <v>106</v>
      </c>
      <c r="B85" s="0" t="s">
        <v>96</v>
      </c>
      <c r="C85" s="16" t="n">
        <v>40979</v>
      </c>
      <c r="D85" s="0" t="s">
        <v>97</v>
      </c>
      <c r="E85" s="0" t="n">
        <v>1</v>
      </c>
      <c r="F85" s="0" t="s">
        <v>92</v>
      </c>
      <c r="G85" s="0" t="n">
        <v>12</v>
      </c>
      <c r="H85" s="0" t="n">
        <v>57</v>
      </c>
      <c r="I85" s="0" t="n">
        <f aca="false">H85*G85</f>
        <v>684</v>
      </c>
      <c r="J85" s="0" t="n">
        <v>3.9</v>
      </c>
      <c r="L85" s="10" t="n">
        <v>0.18</v>
      </c>
      <c r="M85" s="11" t="n">
        <f aca="false">J85/(1+L85)</f>
        <v>3.30508474576271</v>
      </c>
      <c r="O85" s="0" t="n">
        <v>4.3</v>
      </c>
      <c r="P85" s="17" t="n">
        <f aca="false">(O85-J85)/J85</f>
        <v>0.102564102564103</v>
      </c>
      <c r="Q85" s="0" t="s">
        <v>2</v>
      </c>
      <c r="T85" s="0" t="s">
        <v>97</v>
      </c>
      <c r="U85" s="0" t="n">
        <v>12</v>
      </c>
      <c r="W85" s="0" t="s">
        <v>97</v>
      </c>
    </row>
    <row r="86" customFormat="false" ht="13.8" hidden="false" customHeight="false" outlineLevel="0" collapsed="false">
      <c r="A86" s="0" t="n">
        <v>107</v>
      </c>
      <c r="B86" s="0" t="s">
        <v>96</v>
      </c>
      <c r="C86" s="16" t="n">
        <v>40979</v>
      </c>
      <c r="D86" s="0" t="s">
        <v>98</v>
      </c>
      <c r="E86" s="0" t="n">
        <v>1</v>
      </c>
      <c r="F86" s="0" t="s">
        <v>92</v>
      </c>
      <c r="G86" s="0" t="n">
        <v>12</v>
      </c>
      <c r="H86" s="0" t="n">
        <v>75</v>
      </c>
      <c r="I86" s="0" t="n">
        <f aca="false">H86*G86</f>
        <v>900</v>
      </c>
      <c r="J86" s="0" t="n">
        <v>3.9</v>
      </c>
      <c r="L86" s="10" t="n">
        <v>0.18</v>
      </c>
      <c r="M86" s="11" t="n">
        <f aca="false">J86/(1+L86)</f>
        <v>3.30508474576271</v>
      </c>
      <c r="O86" s="0" t="n">
        <v>4.3</v>
      </c>
      <c r="P86" s="17" t="n">
        <f aca="false">(O86-J86)/J86</f>
        <v>0.102564102564103</v>
      </c>
      <c r="Q86" s="0" t="s">
        <v>2</v>
      </c>
      <c r="T86" s="0" t="s">
        <v>98</v>
      </c>
      <c r="U86" s="0" t="n">
        <v>12</v>
      </c>
      <c r="W86" s="0" t="s">
        <v>98</v>
      </c>
    </row>
    <row r="87" customFormat="false" ht="13.8" hidden="false" customHeight="false" outlineLevel="0" collapsed="false">
      <c r="A87" s="0" t="n">
        <v>108</v>
      </c>
      <c r="B87" s="0" t="s">
        <v>96</v>
      </c>
      <c r="C87" s="16" t="n">
        <v>40979</v>
      </c>
      <c r="D87" s="0" t="s">
        <v>99</v>
      </c>
      <c r="E87" s="0" t="n">
        <v>1</v>
      </c>
      <c r="F87" s="0" t="s">
        <v>92</v>
      </c>
      <c r="G87" s="0" t="n">
        <v>12</v>
      </c>
      <c r="H87" s="0" t="n">
        <v>11</v>
      </c>
      <c r="I87" s="0" t="n">
        <f aca="false">H87*G87</f>
        <v>132</v>
      </c>
      <c r="J87" s="0" t="n">
        <v>3.9</v>
      </c>
      <c r="L87" s="10" t="n">
        <v>0.18</v>
      </c>
      <c r="M87" s="11" t="n">
        <f aca="false">J87/(1+L87)</f>
        <v>3.30508474576271</v>
      </c>
      <c r="O87" s="0" t="n">
        <v>4.3</v>
      </c>
      <c r="P87" s="17" t="n">
        <f aca="false">(O87-J87)/J87</f>
        <v>0.102564102564103</v>
      </c>
      <c r="Q87" s="0" t="s">
        <v>2</v>
      </c>
      <c r="T87" s="0" t="s">
        <v>99</v>
      </c>
      <c r="U87" s="0" t="n">
        <v>12</v>
      </c>
      <c r="W87" s="0" t="s">
        <v>99</v>
      </c>
    </row>
    <row r="88" customFormat="false" ht="13.8" hidden="false" customHeight="false" outlineLevel="0" collapsed="false">
      <c r="A88" s="0" t="n">
        <v>13</v>
      </c>
      <c r="B88" s="0" t="s">
        <v>29</v>
      </c>
      <c r="C88" s="16" t="n">
        <v>40909</v>
      </c>
      <c r="D88" s="0" t="s">
        <v>100</v>
      </c>
      <c r="E88" s="0" t="n">
        <v>5</v>
      </c>
      <c r="F88" s="0" t="s">
        <v>59</v>
      </c>
      <c r="G88" s="0" t="n">
        <v>1</v>
      </c>
      <c r="H88" s="0" t="n">
        <v>5</v>
      </c>
      <c r="I88" s="0" t="n">
        <f aca="false">H88*G88</f>
        <v>5</v>
      </c>
      <c r="J88" s="0" t="n">
        <v>8.71</v>
      </c>
      <c r="L88" s="10" t="n">
        <v>0.18</v>
      </c>
      <c r="M88" s="11" t="n">
        <f aca="false">J88/(1+L88)</f>
        <v>7.38135593220339</v>
      </c>
      <c r="O88" s="0" t="n">
        <v>8.72</v>
      </c>
      <c r="P88" s="17" t="n">
        <f aca="false">(O88-J88)/J88</f>
        <v>0.00114810562571754</v>
      </c>
      <c r="Q88" s="0" t="s">
        <v>5</v>
      </c>
      <c r="T88" s="0" t="s">
        <v>100</v>
      </c>
      <c r="U88" s="0" t="n">
        <v>1</v>
      </c>
      <c r="W88" s="0" t="s">
        <v>100</v>
      </c>
    </row>
    <row r="89" customFormat="false" ht="13.8" hidden="false" customHeight="false" outlineLevel="0" collapsed="false">
      <c r="A89" s="0" t="n">
        <v>14</v>
      </c>
      <c r="B89" s="0" t="s">
        <v>29</v>
      </c>
      <c r="C89" s="16" t="n">
        <v>40909</v>
      </c>
      <c r="D89" s="0" t="s">
        <v>101</v>
      </c>
      <c r="E89" s="0" t="n">
        <v>5</v>
      </c>
      <c r="F89" s="0" t="s">
        <v>59</v>
      </c>
      <c r="G89" s="0" t="n">
        <v>1</v>
      </c>
      <c r="H89" s="0" t="n">
        <v>2</v>
      </c>
      <c r="I89" s="0" t="n">
        <f aca="false">H89*G89</f>
        <v>2</v>
      </c>
      <c r="J89" s="0" t="n">
        <v>7.92</v>
      </c>
      <c r="L89" s="10" t="n">
        <v>0.18</v>
      </c>
      <c r="M89" s="11" t="n">
        <f aca="false">J89/(1+L89)</f>
        <v>6.71186440677966</v>
      </c>
      <c r="O89" s="0" t="n">
        <v>8.99</v>
      </c>
      <c r="P89" s="17" t="n">
        <f aca="false">(O89-J89)/J89</f>
        <v>0.13510101010101</v>
      </c>
      <c r="Q89" s="0" t="s">
        <v>5</v>
      </c>
      <c r="T89" s="0" t="s">
        <v>101</v>
      </c>
      <c r="U89" s="0" t="n">
        <v>1</v>
      </c>
      <c r="W89" s="0" t="s">
        <v>101</v>
      </c>
    </row>
    <row r="90" customFormat="false" ht="13.8" hidden="false" customHeight="false" outlineLevel="0" collapsed="false">
      <c r="A90" s="0" t="n">
        <v>15</v>
      </c>
      <c r="B90" s="0" t="s">
        <v>29</v>
      </c>
      <c r="C90" s="16" t="n">
        <v>40909</v>
      </c>
      <c r="D90" s="0" t="s">
        <v>102</v>
      </c>
      <c r="E90" s="0" t="n">
        <v>5</v>
      </c>
      <c r="F90" s="0" t="s">
        <v>59</v>
      </c>
      <c r="G90" s="0" t="n">
        <v>1</v>
      </c>
      <c r="H90" s="0" t="n">
        <v>6</v>
      </c>
      <c r="I90" s="0" t="n">
        <f aca="false">H90*G90</f>
        <v>6</v>
      </c>
      <c r="J90" s="0" t="n">
        <v>9.01</v>
      </c>
      <c r="L90" s="10" t="n">
        <v>0.18</v>
      </c>
      <c r="M90" s="11" t="n">
        <f aca="false">J90/(1+L90)</f>
        <v>7.63559322033898</v>
      </c>
      <c r="O90" s="0" t="n">
        <v>9.99</v>
      </c>
      <c r="P90" s="17" t="n">
        <f aca="false">(O90-J90)/J90</f>
        <v>0.108768035516093</v>
      </c>
      <c r="Q90" s="0" t="s">
        <v>5</v>
      </c>
      <c r="T90" s="0" t="s">
        <v>102</v>
      </c>
      <c r="U90" s="0" t="n">
        <v>1</v>
      </c>
      <c r="W90" s="0" t="s">
        <v>102</v>
      </c>
    </row>
    <row r="91" customFormat="false" ht="13.8" hidden="false" customHeight="false" outlineLevel="0" collapsed="false">
      <c r="A91" s="0" t="n">
        <v>16</v>
      </c>
      <c r="B91" s="0" t="s">
        <v>29</v>
      </c>
      <c r="C91" s="16" t="n">
        <v>40909</v>
      </c>
      <c r="D91" s="0" t="s">
        <v>103</v>
      </c>
      <c r="E91" s="0" t="n">
        <v>5</v>
      </c>
      <c r="F91" s="0" t="s">
        <v>59</v>
      </c>
      <c r="G91" s="0" t="n">
        <v>1</v>
      </c>
      <c r="H91" s="0" t="n">
        <v>9</v>
      </c>
      <c r="I91" s="0" t="n">
        <f aca="false">H91*G91</f>
        <v>9</v>
      </c>
      <c r="J91" s="0" t="n">
        <v>8.99</v>
      </c>
      <c r="L91" s="10" t="n">
        <v>0.18</v>
      </c>
      <c r="M91" s="11" t="n">
        <f aca="false">J91/(1+L91)</f>
        <v>7.61864406779661</v>
      </c>
      <c r="O91" s="0" t="n">
        <v>9.99</v>
      </c>
      <c r="P91" s="17" t="n">
        <f aca="false">(O91-J91)/J91</f>
        <v>0.111234705228031</v>
      </c>
      <c r="Q91" s="0" t="s">
        <v>5</v>
      </c>
      <c r="T91" s="0" t="s">
        <v>103</v>
      </c>
      <c r="U91" s="0" t="n">
        <v>1</v>
      </c>
      <c r="W91" s="0" t="s">
        <v>103</v>
      </c>
    </row>
    <row r="92" customFormat="false" ht="13.8" hidden="false" customHeight="false" outlineLevel="0" collapsed="false">
      <c r="A92" s="0" t="n">
        <v>32</v>
      </c>
      <c r="B92" s="0" t="s">
        <v>29</v>
      </c>
      <c r="C92" s="16" t="n">
        <v>40909</v>
      </c>
      <c r="D92" s="0" t="s">
        <v>104</v>
      </c>
      <c r="E92" s="0" t="n">
        <v>5</v>
      </c>
      <c r="F92" s="0" t="s">
        <v>59</v>
      </c>
      <c r="G92" s="0" t="n">
        <v>12</v>
      </c>
      <c r="H92" s="0" t="n">
        <v>15</v>
      </c>
      <c r="I92" s="0" t="n">
        <f aca="false">H92*G92</f>
        <v>180</v>
      </c>
      <c r="J92" s="0" t="n">
        <v>6.27</v>
      </c>
      <c r="L92" s="10" t="n">
        <v>0.18</v>
      </c>
      <c r="M92" s="11" t="n">
        <f aca="false">J92/(1+L92)</f>
        <v>5.3135593220339</v>
      </c>
      <c r="O92" s="0" t="n">
        <v>7.41</v>
      </c>
      <c r="P92" s="17" t="n">
        <f aca="false">(O92-J92)/J92</f>
        <v>0.181818181818182</v>
      </c>
      <c r="Q92" s="0" t="s">
        <v>5</v>
      </c>
      <c r="T92" s="0" t="s">
        <v>104</v>
      </c>
      <c r="U92" s="0" t="n">
        <v>12</v>
      </c>
      <c r="W92" s="0" t="s">
        <v>104</v>
      </c>
    </row>
    <row r="93" customFormat="false" ht="13.8" hidden="false" customHeight="false" outlineLevel="0" collapsed="false">
      <c r="A93" s="0" t="n">
        <v>33</v>
      </c>
      <c r="B93" s="0" t="s">
        <v>29</v>
      </c>
      <c r="C93" s="16" t="n">
        <v>40909</v>
      </c>
      <c r="D93" s="0" t="s">
        <v>105</v>
      </c>
      <c r="E93" s="0" t="n">
        <v>5</v>
      </c>
      <c r="F93" s="0" t="s">
        <v>59</v>
      </c>
      <c r="G93" s="0" t="n">
        <v>12</v>
      </c>
      <c r="H93" s="0" t="n">
        <v>8</v>
      </c>
      <c r="I93" s="0" t="n">
        <f aca="false">H93*G93</f>
        <v>96</v>
      </c>
      <c r="J93" s="0" t="n">
        <v>5.86</v>
      </c>
      <c r="L93" s="10" t="n">
        <v>0.18</v>
      </c>
      <c r="M93" s="11" t="n">
        <f aca="false">J93/(1+L93)</f>
        <v>4.96610169491525</v>
      </c>
      <c r="O93" s="0" t="n">
        <v>6.99</v>
      </c>
      <c r="P93" s="17" t="n">
        <f aca="false">(O93-J93)/J93</f>
        <v>0.192832764505119</v>
      </c>
      <c r="Q93" s="0" t="s">
        <v>5</v>
      </c>
      <c r="T93" s="0" t="s">
        <v>105</v>
      </c>
      <c r="U93" s="0" t="n">
        <v>12</v>
      </c>
      <c r="W93" s="0" t="s">
        <v>105</v>
      </c>
    </row>
    <row r="94" customFormat="false" ht="13.8" hidden="false" customHeight="false" outlineLevel="0" collapsed="false">
      <c r="A94" s="0" t="n">
        <v>17</v>
      </c>
      <c r="B94" s="0" t="s">
        <v>29</v>
      </c>
      <c r="C94" s="16" t="n">
        <v>40909</v>
      </c>
      <c r="D94" s="0" t="s">
        <v>106</v>
      </c>
      <c r="E94" s="0" t="n">
        <v>5</v>
      </c>
      <c r="F94" s="0" t="s">
        <v>59</v>
      </c>
      <c r="G94" s="0" t="n">
        <v>1</v>
      </c>
      <c r="H94" s="0" t="n">
        <v>45</v>
      </c>
      <c r="I94" s="0" t="n">
        <f aca="false">H94*G94</f>
        <v>45</v>
      </c>
      <c r="J94" s="0" t="n">
        <v>6.4</v>
      </c>
      <c r="L94" s="10" t="n">
        <v>0.18</v>
      </c>
      <c r="M94" s="11" t="n">
        <f aca="false">J94/(1+L94)</f>
        <v>5.42372881355932</v>
      </c>
      <c r="O94" s="0" t="n">
        <v>6.9</v>
      </c>
      <c r="P94" s="17" t="n">
        <f aca="false">(O94-J94)/J94</f>
        <v>0.078125</v>
      </c>
      <c r="Q94" s="0" t="s">
        <v>5</v>
      </c>
      <c r="T94" s="0" t="s">
        <v>106</v>
      </c>
      <c r="U94" s="0" t="n">
        <v>1</v>
      </c>
      <c r="W94" s="0" t="s">
        <v>106</v>
      </c>
    </row>
    <row r="95" customFormat="false" ht="13.8" hidden="false" customHeight="false" outlineLevel="0" collapsed="false">
      <c r="A95" s="0" t="n">
        <v>19</v>
      </c>
      <c r="B95" s="0" t="s">
        <v>29</v>
      </c>
      <c r="C95" s="16" t="n">
        <v>40909</v>
      </c>
      <c r="D95" s="0" t="s">
        <v>107</v>
      </c>
      <c r="E95" s="0" t="n">
        <v>5</v>
      </c>
      <c r="F95" s="0" t="s">
        <v>59</v>
      </c>
      <c r="G95" s="0" t="n">
        <v>24</v>
      </c>
      <c r="H95" s="0" t="n">
        <v>12</v>
      </c>
      <c r="I95" s="0" t="n">
        <f aca="false">H95*G95</f>
        <v>288</v>
      </c>
      <c r="J95" s="0" t="n">
        <v>6.46</v>
      </c>
      <c r="L95" s="10" t="n">
        <v>0.18</v>
      </c>
      <c r="M95" s="11" t="n">
        <f aca="false">J95/(1+L95)</f>
        <v>5.47457627118644</v>
      </c>
      <c r="O95" s="0" t="n">
        <v>6.46</v>
      </c>
      <c r="P95" s="17" t="n">
        <f aca="false">(O95-J95)/J95</f>
        <v>0</v>
      </c>
      <c r="Q95" s="0" t="s">
        <v>5</v>
      </c>
      <c r="T95" s="0" t="s">
        <v>107</v>
      </c>
      <c r="U95" s="0" t="n">
        <v>24</v>
      </c>
      <c r="W95" s="0" t="s">
        <v>107</v>
      </c>
    </row>
    <row r="96" customFormat="false" ht="13.8" hidden="false" customHeight="false" outlineLevel="0" collapsed="false">
      <c r="A96" s="0" t="n">
        <v>34</v>
      </c>
      <c r="B96" s="0" t="s">
        <v>29</v>
      </c>
      <c r="C96" s="16" t="n">
        <v>40909</v>
      </c>
      <c r="D96" s="0" t="s">
        <v>107</v>
      </c>
      <c r="E96" s="0" t="n">
        <v>5</v>
      </c>
      <c r="F96" s="0" t="s">
        <v>59</v>
      </c>
      <c r="G96" s="0" t="n">
        <v>24</v>
      </c>
      <c r="H96" s="0" t="n">
        <v>70</v>
      </c>
      <c r="I96" s="0" t="n">
        <f aca="false">H96*G96</f>
        <v>1680</v>
      </c>
      <c r="J96" s="0" t="n">
        <v>5.33</v>
      </c>
      <c r="L96" s="10" t="n">
        <v>0.18</v>
      </c>
      <c r="M96" s="11" t="n">
        <f aca="false">J96/(1+L96)</f>
        <v>4.51694915254237</v>
      </c>
      <c r="O96" s="0" t="n">
        <v>6.4</v>
      </c>
      <c r="P96" s="17" t="n">
        <f aca="false">(O96-J96)/J96</f>
        <v>0.200750469043152</v>
      </c>
      <c r="Q96" s="0" t="s">
        <v>5</v>
      </c>
      <c r="T96" s="0" t="s">
        <v>107</v>
      </c>
      <c r="U96" s="0" t="n">
        <v>24</v>
      </c>
      <c r="W96" s="0" t="s">
        <v>107</v>
      </c>
    </row>
    <row r="97" customFormat="false" ht="13.8" hidden="false" customHeight="false" outlineLevel="0" collapsed="false">
      <c r="A97" s="0" t="n">
        <v>35</v>
      </c>
      <c r="B97" s="0" t="s">
        <v>29</v>
      </c>
      <c r="C97" s="16" t="n">
        <v>40909</v>
      </c>
      <c r="D97" s="0" t="s">
        <v>108</v>
      </c>
      <c r="E97" s="0" t="n">
        <v>5</v>
      </c>
      <c r="F97" s="0" t="s">
        <v>59</v>
      </c>
      <c r="G97" s="0" t="n">
        <v>6</v>
      </c>
      <c r="H97" s="0" t="n">
        <v>19</v>
      </c>
      <c r="I97" s="0" t="n">
        <f aca="false">H97*G97</f>
        <v>114</v>
      </c>
      <c r="J97" s="0" t="n">
        <v>7.21</v>
      </c>
      <c r="L97" s="10" t="n">
        <v>0.18</v>
      </c>
      <c r="M97" s="11" t="n">
        <f aca="false">J97/(1+L97)</f>
        <v>6.11016949152542</v>
      </c>
      <c r="O97" s="0" t="n">
        <v>8.71</v>
      </c>
      <c r="P97" s="17" t="n">
        <f aca="false">(O97-J97)/J97</f>
        <v>0.208044382801664</v>
      </c>
      <c r="Q97" s="0" t="s">
        <v>5</v>
      </c>
      <c r="T97" s="0" t="s">
        <v>108</v>
      </c>
      <c r="U97" s="0" t="n">
        <v>6</v>
      </c>
      <c r="W97" s="0" t="s">
        <v>108</v>
      </c>
    </row>
    <row r="98" customFormat="false" ht="13.8" hidden="false" customHeight="false" outlineLevel="0" collapsed="false">
      <c r="A98" s="0" t="n">
        <v>36</v>
      </c>
      <c r="B98" s="0" t="s">
        <v>29</v>
      </c>
      <c r="C98" s="16" t="n">
        <v>40909</v>
      </c>
      <c r="D98" s="0" t="s">
        <v>109</v>
      </c>
      <c r="E98" s="0" t="n">
        <v>5</v>
      </c>
      <c r="F98" s="0" t="s">
        <v>59</v>
      </c>
      <c r="G98" s="0" t="n">
        <v>6</v>
      </c>
      <c r="H98" s="0" t="n">
        <v>14</v>
      </c>
      <c r="I98" s="0" t="n">
        <f aca="false">H98*G98</f>
        <v>84</v>
      </c>
      <c r="J98" s="0" t="n">
        <v>7.21</v>
      </c>
      <c r="L98" s="10" t="n">
        <v>0.18</v>
      </c>
      <c r="M98" s="11" t="n">
        <f aca="false">J98/(1+L98)</f>
        <v>6.11016949152542</v>
      </c>
      <c r="O98" s="0" t="n">
        <v>8.71</v>
      </c>
      <c r="P98" s="17" t="n">
        <f aca="false">(O98-J98)/J98</f>
        <v>0.208044382801664</v>
      </c>
      <c r="Q98" s="0" t="s">
        <v>5</v>
      </c>
      <c r="T98" s="0" t="s">
        <v>109</v>
      </c>
      <c r="U98" s="0" t="n">
        <v>6</v>
      </c>
      <c r="W98" s="0" t="s">
        <v>109</v>
      </c>
    </row>
    <row r="99" customFormat="false" ht="13.8" hidden="false" customHeight="false" outlineLevel="0" collapsed="false">
      <c r="A99" s="0" t="n">
        <v>20</v>
      </c>
      <c r="B99" s="0" t="s">
        <v>29</v>
      </c>
      <c r="C99" s="16" t="n">
        <v>40909</v>
      </c>
      <c r="D99" s="0" t="s">
        <v>110</v>
      </c>
      <c r="E99" s="0" t="n">
        <v>5</v>
      </c>
      <c r="F99" s="0" t="s">
        <v>59</v>
      </c>
      <c r="G99" s="0" t="n">
        <v>1</v>
      </c>
      <c r="H99" s="0" t="n">
        <v>8</v>
      </c>
      <c r="I99" s="0" t="n">
        <f aca="false">H99*G99</f>
        <v>8</v>
      </c>
      <c r="J99" s="0" t="n">
        <v>8.9</v>
      </c>
      <c r="L99" s="10" t="n">
        <v>0.18</v>
      </c>
      <c r="M99" s="11" t="n">
        <f aca="false">J99/(1+L99)</f>
        <v>7.54237288135593</v>
      </c>
      <c r="O99" s="0" t="n">
        <v>8.9</v>
      </c>
      <c r="P99" s="17" t="n">
        <f aca="false">(O99-J99)/J99</f>
        <v>0</v>
      </c>
      <c r="Q99" s="0" t="s">
        <v>5</v>
      </c>
      <c r="T99" s="0" t="s">
        <v>110</v>
      </c>
      <c r="U99" s="0" t="n">
        <v>1</v>
      </c>
      <c r="W99" s="0" t="s">
        <v>110</v>
      </c>
    </row>
    <row r="100" customFormat="false" ht="13.8" hidden="false" customHeight="false" outlineLevel="0" collapsed="false">
      <c r="A100" s="0" t="n">
        <v>21</v>
      </c>
      <c r="B100" s="0" t="s">
        <v>29</v>
      </c>
      <c r="C100" s="16" t="n">
        <v>40909</v>
      </c>
      <c r="D100" s="0" t="s">
        <v>111</v>
      </c>
      <c r="E100" s="0" t="n">
        <v>1</v>
      </c>
      <c r="F100" s="0" t="s">
        <v>39</v>
      </c>
      <c r="G100" s="0" t="n">
        <v>1</v>
      </c>
      <c r="H100" s="0" t="n">
        <v>264</v>
      </c>
      <c r="I100" s="0" t="n">
        <f aca="false">H100*G100</f>
        <v>264</v>
      </c>
      <c r="J100" s="0" t="n">
        <v>18.69</v>
      </c>
      <c r="L100" s="10" t="n">
        <v>0.18</v>
      </c>
      <c r="M100" s="11" t="n">
        <f aca="false">J100/(1+L100)</f>
        <v>15.8389830508475</v>
      </c>
      <c r="O100" s="0" t="n">
        <v>20.5</v>
      </c>
      <c r="P100" s="17" t="n">
        <f aca="false">(O100-J100)/J100</f>
        <v>0.0968432316746923</v>
      </c>
      <c r="Q100" s="0" t="s">
        <v>5</v>
      </c>
      <c r="T100" s="0" t="s">
        <v>111</v>
      </c>
      <c r="U100" s="0" t="n">
        <v>1</v>
      </c>
      <c r="W100" s="0" t="s">
        <v>111</v>
      </c>
    </row>
    <row r="101" customFormat="false" ht="13.8" hidden="false" customHeight="false" outlineLevel="0" collapsed="false">
      <c r="A101" s="0" t="n">
        <v>83</v>
      </c>
      <c r="B101" s="0" t="s">
        <v>86</v>
      </c>
      <c r="C101" s="16" t="n">
        <v>40929</v>
      </c>
      <c r="D101" s="0" t="s">
        <v>112</v>
      </c>
      <c r="E101" s="0" t="n">
        <v>5</v>
      </c>
      <c r="F101" s="0" t="s">
        <v>39</v>
      </c>
      <c r="G101" s="0" t="n">
        <v>1</v>
      </c>
      <c r="H101" s="0" t="n">
        <v>253</v>
      </c>
      <c r="I101" s="0" t="n">
        <f aca="false">H101*G101</f>
        <v>253</v>
      </c>
      <c r="J101" s="0" t="n">
        <v>4.5</v>
      </c>
      <c r="L101" s="10" t="n">
        <v>0.18</v>
      </c>
      <c r="M101" s="11" t="n">
        <f aca="false">J101/(1+L101)</f>
        <v>3.8135593220339</v>
      </c>
      <c r="O101" s="0" t="n">
        <v>4.5</v>
      </c>
      <c r="P101" s="17" t="n">
        <f aca="false">(O101-J101)/J101</f>
        <v>0</v>
      </c>
      <c r="Q101" s="0" t="s">
        <v>6</v>
      </c>
      <c r="T101" s="0" t="s">
        <v>112</v>
      </c>
      <c r="U101" s="0" t="n">
        <v>1</v>
      </c>
      <c r="W101" s="0" t="s">
        <v>112</v>
      </c>
    </row>
    <row r="102" customFormat="false" ht="13.8" hidden="false" customHeight="false" outlineLevel="0" collapsed="false">
      <c r="A102" s="0" t="n">
        <v>53</v>
      </c>
      <c r="B102" s="0" t="s">
        <v>29</v>
      </c>
      <c r="C102" s="16" t="n">
        <v>40909</v>
      </c>
      <c r="D102" s="0" t="s">
        <v>113</v>
      </c>
      <c r="E102" s="0" t="n">
        <v>4</v>
      </c>
      <c r="F102" s="0" t="s">
        <v>39</v>
      </c>
      <c r="G102" s="0" t="n">
        <v>24</v>
      </c>
      <c r="H102" s="0" t="n">
        <v>1</v>
      </c>
      <c r="I102" s="0" t="n">
        <f aca="false">H102*G102</f>
        <v>24</v>
      </c>
      <c r="J102" s="0" t="n">
        <v>4.11</v>
      </c>
      <c r="L102" s="10" t="n">
        <v>0.18</v>
      </c>
      <c r="M102" s="11" t="n">
        <f aca="false">J102/(1+L102)</f>
        <v>3.48305084745763</v>
      </c>
      <c r="O102" s="0" t="n">
        <v>5.15</v>
      </c>
      <c r="P102" s="17" t="n">
        <f aca="false">(O102-J102)/J102</f>
        <v>0.253041362530414</v>
      </c>
      <c r="Q102" s="0" t="s">
        <v>5</v>
      </c>
      <c r="T102" s="0" t="s">
        <v>113</v>
      </c>
      <c r="U102" s="0" t="n">
        <v>24</v>
      </c>
      <c r="W102" s="0" t="s">
        <v>113</v>
      </c>
    </row>
    <row r="103" customFormat="false" ht="13.8" hidden="false" customHeight="false" outlineLevel="0" collapsed="false">
      <c r="A103" s="0" t="n">
        <v>71</v>
      </c>
      <c r="B103" s="0" t="s">
        <v>32</v>
      </c>
      <c r="C103" s="16" t="n">
        <v>40918</v>
      </c>
      <c r="D103" s="0" t="s">
        <v>113</v>
      </c>
      <c r="E103" s="0" t="n">
        <v>4</v>
      </c>
      <c r="F103" s="0" t="s">
        <v>39</v>
      </c>
      <c r="G103" s="0" t="n">
        <v>24</v>
      </c>
      <c r="H103" s="0" t="n">
        <v>24</v>
      </c>
      <c r="I103" s="0" t="n">
        <f aca="false">H103*G103</f>
        <v>576</v>
      </c>
      <c r="J103" s="0" t="n">
        <v>3.94</v>
      </c>
      <c r="L103" s="10" t="n">
        <v>0.18</v>
      </c>
      <c r="M103" s="11" t="n">
        <f aca="false">J103/(1+L103)</f>
        <v>3.33898305084746</v>
      </c>
      <c r="O103" s="0" t="n">
        <v>5</v>
      </c>
      <c r="P103" s="17" t="n">
        <f aca="false">(O103-J103)/J103</f>
        <v>0.269035532994924</v>
      </c>
      <c r="Q103" s="0" t="s">
        <v>8</v>
      </c>
      <c r="T103" s="0" t="s">
        <v>113</v>
      </c>
      <c r="U103" s="0" t="n">
        <v>24</v>
      </c>
      <c r="W103" s="0" t="s">
        <v>113</v>
      </c>
    </row>
    <row r="104" customFormat="false" ht="13.8" hidden="false" customHeight="false" outlineLevel="0" collapsed="false">
      <c r="A104" s="0" t="n">
        <v>22</v>
      </c>
      <c r="B104" s="0" t="s">
        <v>29</v>
      </c>
      <c r="C104" s="16" t="n">
        <v>40909</v>
      </c>
      <c r="D104" s="0" t="s">
        <v>114</v>
      </c>
      <c r="E104" s="0" t="n">
        <v>1</v>
      </c>
      <c r="F104" s="0" t="s">
        <v>39</v>
      </c>
      <c r="G104" s="0" t="n">
        <v>1</v>
      </c>
      <c r="H104" s="0" t="n">
        <v>386</v>
      </c>
      <c r="I104" s="0" t="n">
        <f aca="false">H104*G104</f>
        <v>386</v>
      </c>
      <c r="J104" s="0" t="n">
        <v>9.95</v>
      </c>
      <c r="L104" s="10" t="n">
        <v>0.18</v>
      </c>
      <c r="M104" s="11" t="n">
        <f aca="false">J104/(1+L104)</f>
        <v>8.43220338983051</v>
      </c>
      <c r="O104" s="0" t="n">
        <v>12</v>
      </c>
      <c r="P104" s="17" t="n">
        <f aca="false">(O104-J104)/J104</f>
        <v>0.206030150753769</v>
      </c>
      <c r="Q104" s="0" t="s">
        <v>5</v>
      </c>
      <c r="T104" s="0" t="s">
        <v>114</v>
      </c>
      <c r="U104" s="0" t="n">
        <v>1</v>
      </c>
      <c r="W104" s="0" t="s">
        <v>114</v>
      </c>
    </row>
    <row r="105" customFormat="false" ht="13.8" hidden="false" customHeight="false" outlineLevel="0" collapsed="false">
      <c r="A105" s="0" t="n">
        <v>81</v>
      </c>
      <c r="B105" s="0" t="s">
        <v>115</v>
      </c>
      <c r="C105" s="16" t="n">
        <v>40925</v>
      </c>
      <c r="D105" s="0" t="s">
        <v>114</v>
      </c>
      <c r="E105" s="0" t="n">
        <v>1</v>
      </c>
      <c r="F105" s="0" t="s">
        <v>39</v>
      </c>
      <c r="G105" s="0" t="n">
        <v>1</v>
      </c>
      <c r="H105" s="0" t="n">
        <v>93</v>
      </c>
      <c r="I105" s="0" t="n">
        <f aca="false">H105*G105</f>
        <v>93</v>
      </c>
      <c r="J105" s="0" t="n">
        <v>9.95</v>
      </c>
      <c r="L105" s="10" t="n">
        <v>0.18</v>
      </c>
      <c r="M105" s="11" t="n">
        <f aca="false">J105/(1+L105)</f>
        <v>8.43220338983051</v>
      </c>
      <c r="O105" s="0" t="n">
        <v>12</v>
      </c>
      <c r="P105" s="17" t="n">
        <f aca="false">(O105-J105)/J105</f>
        <v>0.206030150753769</v>
      </c>
      <c r="Q105" s="0" t="s">
        <v>3</v>
      </c>
      <c r="T105" s="0" t="s">
        <v>114</v>
      </c>
      <c r="U105" s="0" t="n">
        <v>1</v>
      </c>
      <c r="W105" s="0" t="s">
        <v>114</v>
      </c>
    </row>
    <row r="106" customFormat="false" ht="13.8" hidden="false" customHeight="false" outlineLevel="0" collapsed="false">
      <c r="A106" s="0" t="n">
        <v>23</v>
      </c>
      <c r="B106" s="0" t="s">
        <v>29</v>
      </c>
      <c r="C106" s="16" t="n">
        <v>40909</v>
      </c>
      <c r="D106" s="0" t="s">
        <v>116</v>
      </c>
      <c r="E106" s="0" t="n">
        <v>5</v>
      </c>
      <c r="F106" s="0" t="s">
        <v>59</v>
      </c>
      <c r="G106" s="0" t="n">
        <v>1</v>
      </c>
      <c r="H106" s="0" t="n">
        <v>48</v>
      </c>
      <c r="I106" s="0" t="n">
        <f aca="false">H106*G106</f>
        <v>48</v>
      </c>
      <c r="J106" s="0" t="n">
        <v>6.4</v>
      </c>
      <c r="L106" s="10" t="n">
        <v>0.18</v>
      </c>
      <c r="M106" s="11" t="n">
        <f aca="false">J106/(1+L106)</f>
        <v>5.42372881355932</v>
      </c>
      <c r="O106" s="0" t="n">
        <v>7</v>
      </c>
      <c r="P106" s="17" t="n">
        <f aca="false">(O106-J106)/J106</f>
        <v>0.09375</v>
      </c>
      <c r="Q106" s="0" t="s">
        <v>5</v>
      </c>
      <c r="T106" s="0" t="s">
        <v>116</v>
      </c>
      <c r="U106" s="0" t="n">
        <v>1</v>
      </c>
      <c r="W106" s="0" t="s">
        <v>116</v>
      </c>
    </row>
    <row r="107" customFormat="false" ht="13.8" hidden="false" customHeight="false" outlineLevel="0" collapsed="false">
      <c r="A107" s="0" t="n">
        <v>54</v>
      </c>
      <c r="B107" s="0" t="s">
        <v>29</v>
      </c>
      <c r="C107" s="16" t="n">
        <v>40909</v>
      </c>
      <c r="D107" s="0" t="s">
        <v>117</v>
      </c>
      <c r="E107" s="0" t="n">
        <v>4</v>
      </c>
      <c r="F107" s="0" t="s">
        <v>39</v>
      </c>
      <c r="G107" s="0" t="n">
        <v>24</v>
      </c>
      <c r="H107" s="0" t="n">
        <v>75</v>
      </c>
      <c r="I107" s="0" t="n">
        <f aca="false">H107*G107</f>
        <v>1800</v>
      </c>
      <c r="J107" s="0" t="n">
        <v>3.77</v>
      </c>
      <c r="L107" s="10" t="n">
        <v>0.18</v>
      </c>
      <c r="M107" s="11" t="n">
        <f aca="false">J107/(1+L107)</f>
        <v>3.19491525423729</v>
      </c>
      <c r="O107" s="0" t="n">
        <v>4.7</v>
      </c>
      <c r="P107" s="17" t="n">
        <f aca="false">(O107-J107)/J107</f>
        <v>0.246684350132626</v>
      </c>
      <c r="Q107" s="0" t="s">
        <v>5</v>
      </c>
      <c r="T107" s="0" t="s">
        <v>117</v>
      </c>
      <c r="U107" s="0" t="n">
        <v>24</v>
      </c>
      <c r="W107" s="0" t="s">
        <v>117</v>
      </c>
    </row>
    <row r="108" customFormat="false" ht="13.8" hidden="false" customHeight="false" outlineLevel="0" collapsed="false">
      <c r="A108" s="0" t="n">
        <v>72</v>
      </c>
      <c r="B108" s="0" t="s">
        <v>32</v>
      </c>
      <c r="C108" s="16" t="n">
        <v>40918</v>
      </c>
      <c r="D108" s="0" t="s">
        <v>117</v>
      </c>
      <c r="E108" s="0" t="n">
        <v>4</v>
      </c>
      <c r="F108" s="0" t="s">
        <v>39</v>
      </c>
      <c r="G108" s="0" t="n">
        <v>24</v>
      </c>
      <c r="H108" s="0" t="n">
        <v>126</v>
      </c>
      <c r="I108" s="0" t="n">
        <f aca="false">H108*G108</f>
        <v>3024</v>
      </c>
      <c r="J108" s="0" t="n">
        <v>3.83</v>
      </c>
      <c r="L108" s="10" t="n">
        <v>0.18</v>
      </c>
      <c r="M108" s="11" t="n">
        <f aca="false">J108/(1+L108)</f>
        <v>3.24576271186441</v>
      </c>
      <c r="O108" s="0" t="n">
        <v>4.79</v>
      </c>
      <c r="P108" s="17" t="n">
        <f aca="false">(O108-J108)/J108</f>
        <v>0.25065274151436</v>
      </c>
      <c r="Q108" s="0" t="s">
        <v>8</v>
      </c>
      <c r="T108" s="0" t="s">
        <v>117</v>
      </c>
      <c r="U108" s="0" t="n">
        <v>24</v>
      </c>
      <c r="W108" s="0" t="s">
        <v>117</v>
      </c>
    </row>
    <row r="109" customFormat="false" ht="13.8" hidden="false" customHeight="false" outlineLevel="0" collapsed="false">
      <c r="A109" s="0" t="n">
        <v>96</v>
      </c>
      <c r="B109" s="0" t="s">
        <v>34</v>
      </c>
      <c r="C109" s="16" t="n">
        <v>40937</v>
      </c>
      <c r="D109" s="0" t="s">
        <v>117</v>
      </c>
      <c r="E109" s="0" t="n">
        <v>4</v>
      </c>
      <c r="F109" s="0" t="s">
        <v>39</v>
      </c>
      <c r="G109" s="0" t="n">
        <v>24</v>
      </c>
      <c r="H109" s="0" t="n">
        <v>63</v>
      </c>
      <c r="I109" s="0" t="n">
        <f aca="false">H109*G109</f>
        <v>1512</v>
      </c>
      <c r="J109" s="0" t="n">
        <v>3.85</v>
      </c>
      <c r="L109" s="10" t="n">
        <v>0.18</v>
      </c>
      <c r="M109" s="11" t="n">
        <f aca="false">J109/(1+L109)</f>
        <v>3.26271186440678</v>
      </c>
      <c r="O109" s="0" t="n">
        <v>4.8</v>
      </c>
      <c r="P109" s="17" t="n">
        <f aca="false">(O109-J109)/J109</f>
        <v>0.246753246753247</v>
      </c>
      <c r="Q109" s="0" t="s">
        <v>8</v>
      </c>
      <c r="T109" s="0" t="s">
        <v>117</v>
      </c>
      <c r="U109" s="0" t="n">
        <v>24</v>
      </c>
      <c r="W109" s="0" t="s">
        <v>117</v>
      </c>
    </row>
    <row r="110" customFormat="false" ht="13.8" hidden="false" customHeight="false" outlineLevel="0" collapsed="false">
      <c r="A110" s="0" t="n">
        <v>111</v>
      </c>
      <c r="B110" s="0" t="s">
        <v>35</v>
      </c>
      <c r="C110" s="16" t="n">
        <v>40994</v>
      </c>
      <c r="D110" s="0" t="s">
        <v>117</v>
      </c>
      <c r="E110" s="0" t="n">
        <v>4</v>
      </c>
      <c r="F110" s="0" t="s">
        <v>39</v>
      </c>
      <c r="G110" s="0" t="n">
        <v>24</v>
      </c>
      <c r="H110" s="0" t="n">
        <v>200</v>
      </c>
      <c r="I110" s="0" t="n">
        <f aca="false">H110*G110</f>
        <v>4800</v>
      </c>
      <c r="J110" s="0" t="n">
        <v>3.8</v>
      </c>
      <c r="L110" s="10" t="n">
        <v>0.18</v>
      </c>
      <c r="M110" s="11" t="n">
        <f aca="false">J110/(1+L110)</f>
        <v>3.22033898305085</v>
      </c>
      <c r="O110" s="0" t="n">
        <v>5.4</v>
      </c>
      <c r="P110" s="17" t="n">
        <f aca="false">(O110-J110)/J110</f>
        <v>0.421052631578948</v>
      </c>
      <c r="Q110" s="0" t="s">
        <v>9</v>
      </c>
      <c r="T110" s="0" t="s">
        <v>117</v>
      </c>
      <c r="U110" s="0" t="n">
        <v>24</v>
      </c>
      <c r="W110" s="0" t="s">
        <v>117</v>
      </c>
    </row>
    <row r="111" customFormat="false" ht="13.8" hidden="false" customHeight="false" outlineLevel="0" collapsed="false">
      <c r="A111" s="0" t="n">
        <v>100</v>
      </c>
      <c r="B111" s="0" t="s">
        <v>36</v>
      </c>
      <c r="C111" s="16" t="n">
        <v>40971</v>
      </c>
      <c r="D111" s="0" t="s">
        <v>118</v>
      </c>
      <c r="E111" s="0" t="n">
        <v>4</v>
      </c>
      <c r="F111" s="0" t="s">
        <v>39</v>
      </c>
      <c r="G111" s="0" t="n">
        <v>24</v>
      </c>
      <c r="H111" s="0" t="n">
        <v>205</v>
      </c>
      <c r="I111" s="0" t="n">
        <f aca="false">H111*G111</f>
        <v>4920</v>
      </c>
      <c r="J111" s="0" t="n">
        <v>3.04</v>
      </c>
      <c r="L111" s="10" t="n">
        <v>0.18</v>
      </c>
      <c r="M111" s="11" t="n">
        <f aca="false">J111/(1+L111)</f>
        <v>2.57627118644068</v>
      </c>
      <c r="O111" s="0" t="n">
        <v>4</v>
      </c>
      <c r="P111" s="17" t="n">
        <f aca="false">(O111-J111)/J111</f>
        <v>0.31578947368421</v>
      </c>
      <c r="Q111" s="0" t="s">
        <v>10</v>
      </c>
      <c r="T111" s="0" t="s">
        <v>118</v>
      </c>
      <c r="U111" s="0" t="n">
        <v>24</v>
      </c>
      <c r="W111" s="0" t="s">
        <v>118</v>
      </c>
    </row>
    <row r="112" customFormat="false" ht="13.8" hidden="false" customHeight="false" outlineLevel="0" collapsed="false">
      <c r="A112" s="0" t="n">
        <v>112</v>
      </c>
      <c r="B112" s="0" t="s">
        <v>35</v>
      </c>
      <c r="C112" s="16" t="n">
        <v>40994</v>
      </c>
      <c r="D112" s="0" t="s">
        <v>119</v>
      </c>
      <c r="E112" s="0" t="n">
        <v>4</v>
      </c>
      <c r="F112" s="0" t="s">
        <v>31</v>
      </c>
      <c r="G112" s="0" t="n">
        <v>24</v>
      </c>
      <c r="H112" s="0" t="n">
        <v>50</v>
      </c>
      <c r="I112" s="0" t="n">
        <f aca="false">H112*G112</f>
        <v>1200</v>
      </c>
      <c r="J112" s="0" t="n">
        <v>3.74</v>
      </c>
      <c r="L112" s="10" t="n">
        <v>0.18</v>
      </c>
      <c r="M112" s="11" t="n">
        <f aca="false">J112/(1+L112)</f>
        <v>3.16949152542373</v>
      </c>
      <c r="O112" s="0" t="n">
        <v>5.2</v>
      </c>
      <c r="P112" s="17" t="n">
        <f aca="false">(O112-J112)/J112</f>
        <v>0.390374331550802</v>
      </c>
      <c r="Q112" s="0" t="s">
        <v>9</v>
      </c>
      <c r="T112" s="0" t="s">
        <v>119</v>
      </c>
      <c r="U112" s="0" t="n">
        <v>24</v>
      </c>
      <c r="W112" s="0" t="s">
        <v>119</v>
      </c>
    </row>
    <row r="113" customFormat="false" ht="13.8" hidden="false" customHeight="false" outlineLevel="0" collapsed="false">
      <c r="A113" s="0" t="n">
        <v>38</v>
      </c>
      <c r="B113" s="0" t="s">
        <v>29</v>
      </c>
      <c r="C113" s="16" t="n">
        <v>40909</v>
      </c>
      <c r="D113" s="0" t="s">
        <v>120</v>
      </c>
      <c r="E113" s="0" t="n">
        <v>5</v>
      </c>
      <c r="F113" s="0" t="s">
        <v>59</v>
      </c>
      <c r="G113" s="0" t="n">
        <v>200</v>
      </c>
      <c r="H113" s="0" t="n">
        <v>15</v>
      </c>
      <c r="I113" s="0" t="n">
        <f aca="false">H113*G113</f>
        <v>3000</v>
      </c>
      <c r="J113" s="0" t="n">
        <v>1.34</v>
      </c>
      <c r="L113" s="10" t="n">
        <v>0.18</v>
      </c>
      <c r="M113" s="11" t="n">
        <f aca="false">J113/(1+L113)</f>
        <v>1.13559322033898</v>
      </c>
      <c r="O113" s="0" t="n">
        <v>1.98</v>
      </c>
      <c r="P113" s="17" t="n">
        <f aca="false">(O113-J113)/J113</f>
        <v>0.477611940298507</v>
      </c>
      <c r="Q113" s="0" t="s">
        <v>5</v>
      </c>
      <c r="T113" s="0" t="s">
        <v>120</v>
      </c>
      <c r="U113" s="0" t="n">
        <v>200</v>
      </c>
      <c r="W113" s="0" t="s">
        <v>120</v>
      </c>
    </row>
    <row r="114" customFormat="false" ht="13.8" hidden="false" customHeight="false" outlineLevel="0" collapsed="false">
      <c r="A114" s="0" t="n">
        <v>39</v>
      </c>
      <c r="B114" s="0" t="s">
        <v>29</v>
      </c>
      <c r="C114" s="16" t="n">
        <v>40909</v>
      </c>
      <c r="D114" s="0" t="s">
        <v>121</v>
      </c>
      <c r="E114" s="0" t="n">
        <v>5</v>
      </c>
      <c r="F114" s="0" t="s">
        <v>59</v>
      </c>
      <c r="G114" s="0" t="n">
        <v>200</v>
      </c>
      <c r="H114" s="0" t="n">
        <v>21</v>
      </c>
      <c r="I114" s="0" t="n">
        <f aca="false">H114*G114</f>
        <v>4200</v>
      </c>
      <c r="J114" s="0" t="n">
        <v>2.52</v>
      </c>
      <c r="L114" s="10" t="n">
        <v>0.18</v>
      </c>
      <c r="M114" s="11" t="n">
        <f aca="false">J114/(1+L114)</f>
        <v>2.13559322033898</v>
      </c>
      <c r="O114" s="0" t="n">
        <v>3.1</v>
      </c>
      <c r="P114" s="17" t="n">
        <f aca="false">(O114-J114)/J114</f>
        <v>0.23015873015873</v>
      </c>
      <c r="Q114" s="0" t="s">
        <v>5</v>
      </c>
      <c r="T114" s="0" t="s">
        <v>121</v>
      </c>
      <c r="U114" s="0" t="n">
        <v>200</v>
      </c>
      <c r="W114" s="0" t="s">
        <v>121</v>
      </c>
    </row>
    <row r="115" customFormat="false" ht="13.8" hidden="false" customHeight="false" outlineLevel="0" collapsed="false">
      <c r="A115" s="0" t="n">
        <v>24</v>
      </c>
      <c r="B115" s="0" t="s">
        <v>29</v>
      </c>
      <c r="C115" s="16" t="n">
        <v>40909</v>
      </c>
      <c r="D115" s="0" t="s">
        <v>122</v>
      </c>
      <c r="E115" s="0" t="n">
        <v>5</v>
      </c>
      <c r="F115" s="0" t="s">
        <v>59</v>
      </c>
      <c r="G115" s="0" t="n">
        <v>1</v>
      </c>
      <c r="H115" s="0" t="n">
        <v>62</v>
      </c>
      <c r="I115" s="0" t="n">
        <f aca="false">H115*G115</f>
        <v>62</v>
      </c>
      <c r="J115" s="0" t="n">
        <v>3.75</v>
      </c>
      <c r="L115" s="10" t="n">
        <v>0.18</v>
      </c>
      <c r="M115" s="11" t="n">
        <f aca="false">J115/(1+L115)</f>
        <v>3.17796610169492</v>
      </c>
      <c r="O115" s="0" t="n">
        <v>4.5</v>
      </c>
      <c r="P115" s="17" t="n">
        <f aca="false">(O115-J115)/J115</f>
        <v>0.2</v>
      </c>
      <c r="Q115" s="0" t="s">
        <v>5</v>
      </c>
      <c r="T115" s="0" t="s">
        <v>122</v>
      </c>
      <c r="U115" s="0" t="n">
        <v>1</v>
      </c>
      <c r="W115" s="0" t="s">
        <v>122</v>
      </c>
    </row>
    <row r="116" customFormat="false" ht="13.8" hidden="false" customHeight="false" outlineLevel="0" collapsed="false">
      <c r="A116" s="0" t="n">
        <v>55</v>
      </c>
      <c r="B116" s="0" t="s">
        <v>29</v>
      </c>
      <c r="C116" s="16" t="n">
        <v>40909</v>
      </c>
      <c r="D116" s="0" t="s">
        <v>123</v>
      </c>
      <c r="E116" s="0" t="n">
        <v>4</v>
      </c>
      <c r="F116" s="0" t="s">
        <v>39</v>
      </c>
      <c r="G116" s="0" t="n">
        <v>24</v>
      </c>
      <c r="H116" s="0" t="n">
        <v>3</v>
      </c>
      <c r="I116" s="0" t="n">
        <f aca="false">H116*G116</f>
        <v>72</v>
      </c>
      <c r="J116" s="0" t="n">
        <v>3.61</v>
      </c>
      <c r="L116" s="10" t="n">
        <v>0.18</v>
      </c>
      <c r="M116" s="11" t="n">
        <f aca="false">J116/(1+L116)</f>
        <v>3.0593220338983</v>
      </c>
      <c r="O116" s="0" t="n">
        <v>4.5</v>
      </c>
      <c r="P116" s="17" t="n">
        <f aca="false">(O116-J116)/J116</f>
        <v>0.246537396121884</v>
      </c>
      <c r="Q116" s="0" t="s">
        <v>5</v>
      </c>
      <c r="T116" s="0" t="s">
        <v>123</v>
      </c>
      <c r="U116" s="0" t="n">
        <v>24</v>
      </c>
      <c r="W116" s="0" t="s">
        <v>123</v>
      </c>
    </row>
    <row r="117" customFormat="false" ht="13.8" hidden="false" customHeight="false" outlineLevel="0" collapsed="false">
      <c r="A117" s="0" t="n">
        <v>25</v>
      </c>
      <c r="B117" s="0" t="s">
        <v>29</v>
      </c>
      <c r="C117" s="16" t="n">
        <v>40909</v>
      </c>
      <c r="D117" s="0" t="s">
        <v>124</v>
      </c>
      <c r="E117" s="0" t="n">
        <v>2</v>
      </c>
      <c r="F117" s="0" t="s">
        <v>59</v>
      </c>
      <c r="G117" s="0" t="n">
        <v>1</v>
      </c>
      <c r="H117" s="0" t="n">
        <v>72</v>
      </c>
      <c r="I117" s="0" t="n">
        <f aca="false">H117*G117</f>
        <v>72</v>
      </c>
      <c r="J117" s="0" t="n">
        <v>1.72</v>
      </c>
      <c r="L117" s="10" t="n">
        <v>0.18</v>
      </c>
      <c r="M117" s="11" t="n">
        <f aca="false">J117/(1+L117)</f>
        <v>1.45762711864407</v>
      </c>
      <c r="O117" s="0" t="n">
        <v>2.16</v>
      </c>
      <c r="P117" s="17" t="n">
        <f aca="false">(O117-J117)/J117</f>
        <v>0.255813953488372</v>
      </c>
      <c r="Q117" s="0" t="s">
        <v>5</v>
      </c>
      <c r="T117" s="0" t="s">
        <v>124</v>
      </c>
      <c r="U117" s="0" t="n">
        <v>1</v>
      </c>
      <c r="W117" s="0" t="s">
        <v>124</v>
      </c>
    </row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</sheetData>
  <autoFilter ref="A2:Q117"/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17" activeCellId="0" sqref="L17"/>
    </sheetView>
  </sheetViews>
  <sheetFormatPr defaultRowHeight="15" zeroHeight="false" outlineLevelRow="0" outlineLevelCol="0"/>
  <cols>
    <col collapsed="false" customWidth="true" hidden="false" outlineLevel="0" max="1" min="1" style="0" width="36.01"/>
    <col collapsed="false" customWidth="true" hidden="false" outlineLevel="0" max="5" min="2" style="0" width="12.57"/>
    <col collapsed="false" customWidth="true" hidden="false" outlineLevel="0" max="6" min="6" style="0" width="17.29"/>
    <col collapsed="false" customWidth="true" hidden="false" outlineLevel="0" max="1025" min="7" style="0" width="12.57"/>
  </cols>
  <sheetData>
    <row r="1" customFormat="false" ht="15" hidden="false" customHeight="false" outlineLevel="0" collapsed="false">
      <c r="A1" s="18" t="s">
        <v>125</v>
      </c>
      <c r="B1" s="19" t="s">
        <v>126</v>
      </c>
      <c r="C1" s="20"/>
      <c r="D1" s="20"/>
      <c r="E1" s="20"/>
      <c r="F1" s="21"/>
    </row>
    <row r="2" customFormat="false" ht="15" hidden="false" customHeight="false" outlineLevel="0" collapsed="false">
      <c r="A2" s="22" t="s">
        <v>16</v>
      </c>
      <c r="B2" s="23" t="n">
        <v>1</v>
      </c>
      <c r="C2" s="24" t="n">
        <v>2</v>
      </c>
      <c r="D2" s="24" t="n">
        <v>4</v>
      </c>
      <c r="E2" s="24" t="n">
        <v>5</v>
      </c>
      <c r="F2" s="25" t="s">
        <v>12</v>
      </c>
    </row>
    <row r="3" customFormat="false" ht="15" hidden="false" customHeight="false" outlineLevel="0" collapsed="false">
      <c r="A3" s="3" t="s">
        <v>30</v>
      </c>
      <c r="B3" s="26"/>
      <c r="C3" s="27"/>
      <c r="D3" s="28" t="n">
        <v>20.38</v>
      </c>
      <c r="E3" s="29"/>
      <c r="F3" s="30" t="n">
        <v>20.38</v>
      </c>
    </row>
    <row r="4" customFormat="false" ht="15" hidden="false" customHeight="false" outlineLevel="0" collapsed="false">
      <c r="A4" s="5" t="s">
        <v>37</v>
      </c>
      <c r="B4" s="31"/>
      <c r="C4" s="32"/>
      <c r="D4" s="33" t="n">
        <v>2.44</v>
      </c>
      <c r="E4" s="34"/>
      <c r="F4" s="35" t="n">
        <v>2.44</v>
      </c>
    </row>
    <row r="5" customFormat="false" ht="15" hidden="false" customHeight="false" outlineLevel="0" collapsed="false">
      <c r="A5" s="5" t="s">
        <v>38</v>
      </c>
      <c r="B5" s="31"/>
      <c r="C5" s="32"/>
      <c r="D5" s="33" t="n">
        <v>9.09</v>
      </c>
      <c r="E5" s="34"/>
      <c r="F5" s="35" t="n">
        <v>9.09</v>
      </c>
    </row>
    <row r="6" customFormat="false" ht="15" hidden="false" customHeight="false" outlineLevel="0" collapsed="false">
      <c r="A6" s="5" t="s">
        <v>40</v>
      </c>
      <c r="B6" s="31"/>
      <c r="C6" s="32"/>
      <c r="D6" s="33" t="n">
        <v>14.33</v>
      </c>
      <c r="E6" s="34"/>
      <c r="F6" s="35" t="n">
        <v>14.33</v>
      </c>
    </row>
    <row r="7" customFormat="false" ht="15" hidden="false" customHeight="false" outlineLevel="0" collapsed="false">
      <c r="A7" s="5" t="s">
        <v>41</v>
      </c>
      <c r="B7" s="31"/>
      <c r="C7" s="32"/>
      <c r="D7" s="33" t="n">
        <v>24.63</v>
      </c>
      <c r="E7" s="34"/>
      <c r="F7" s="35" t="n">
        <v>24.63</v>
      </c>
    </row>
    <row r="8" customFormat="false" ht="15" hidden="false" customHeight="false" outlineLevel="0" collapsed="false">
      <c r="A8" s="5" t="s">
        <v>42</v>
      </c>
      <c r="B8" s="31"/>
      <c r="C8" s="32"/>
      <c r="D8" s="33" t="n">
        <v>3.86</v>
      </c>
      <c r="E8" s="34"/>
      <c r="F8" s="35" t="n">
        <v>3.86</v>
      </c>
    </row>
    <row r="9" customFormat="false" ht="15" hidden="false" customHeight="false" outlineLevel="0" collapsed="false">
      <c r="A9" s="5" t="s">
        <v>43</v>
      </c>
      <c r="B9" s="31"/>
      <c r="C9" s="32"/>
      <c r="D9" s="33" t="n">
        <v>2.98</v>
      </c>
      <c r="E9" s="34"/>
      <c r="F9" s="35" t="n">
        <v>2.98</v>
      </c>
    </row>
    <row r="10" customFormat="false" ht="15" hidden="false" customHeight="false" outlineLevel="0" collapsed="false">
      <c r="A10" s="5" t="s">
        <v>44</v>
      </c>
      <c r="B10" s="31"/>
      <c r="C10" s="32"/>
      <c r="D10" s="33" t="n">
        <v>13.21</v>
      </c>
      <c r="E10" s="34"/>
      <c r="F10" s="35" t="n">
        <v>13.21</v>
      </c>
    </row>
    <row r="11" customFormat="false" ht="15" hidden="false" customHeight="false" outlineLevel="0" collapsed="false">
      <c r="A11" s="5" t="s">
        <v>45</v>
      </c>
      <c r="B11" s="31"/>
      <c r="C11" s="32"/>
      <c r="D11" s="33" t="n">
        <v>8.99</v>
      </c>
      <c r="E11" s="34"/>
      <c r="F11" s="35" t="n">
        <v>8.99</v>
      </c>
    </row>
    <row r="12" customFormat="false" ht="15" hidden="false" customHeight="false" outlineLevel="0" collapsed="false">
      <c r="A12" s="5" t="s">
        <v>46</v>
      </c>
      <c r="B12" s="31"/>
      <c r="C12" s="32"/>
      <c r="D12" s="33" t="n">
        <v>4.38</v>
      </c>
      <c r="E12" s="34"/>
      <c r="F12" s="35" t="n">
        <v>4.38</v>
      </c>
    </row>
    <row r="13" customFormat="false" ht="15" hidden="false" customHeight="false" outlineLevel="0" collapsed="false">
      <c r="A13" s="5" t="s">
        <v>48</v>
      </c>
      <c r="B13" s="31"/>
      <c r="C13" s="32"/>
      <c r="D13" s="32"/>
      <c r="E13" s="36" t="n">
        <v>3.9</v>
      </c>
      <c r="F13" s="35" t="n">
        <v>3.9</v>
      </c>
    </row>
    <row r="14" customFormat="false" ht="15" hidden="false" customHeight="false" outlineLevel="0" collapsed="false">
      <c r="A14" s="5" t="s">
        <v>50</v>
      </c>
      <c r="B14" s="31"/>
      <c r="C14" s="32"/>
      <c r="D14" s="33" t="n">
        <v>6.01</v>
      </c>
      <c r="E14" s="34"/>
      <c r="F14" s="35" t="n">
        <v>6.01</v>
      </c>
    </row>
    <row r="15" customFormat="false" ht="15" hidden="false" customHeight="false" outlineLevel="0" collapsed="false">
      <c r="A15" s="5" t="s">
        <v>51</v>
      </c>
      <c r="B15" s="31"/>
      <c r="C15" s="32"/>
      <c r="D15" s="33" t="n">
        <v>17.02</v>
      </c>
      <c r="E15" s="34"/>
      <c r="F15" s="35" t="n">
        <v>17.02</v>
      </c>
    </row>
    <row r="16" customFormat="false" ht="15" hidden="false" customHeight="false" outlineLevel="0" collapsed="false">
      <c r="A16" s="5" t="s">
        <v>52</v>
      </c>
      <c r="B16" s="31"/>
      <c r="C16" s="32"/>
      <c r="D16" s="33" t="n">
        <v>18.56</v>
      </c>
      <c r="E16" s="34"/>
      <c r="F16" s="35" t="n">
        <v>18.56</v>
      </c>
    </row>
    <row r="17" customFormat="false" ht="15" hidden="false" customHeight="false" outlineLevel="0" collapsed="false">
      <c r="A17" s="5" t="s">
        <v>53</v>
      </c>
      <c r="B17" s="31"/>
      <c r="C17" s="32"/>
      <c r="D17" s="33" t="n">
        <v>18.56</v>
      </c>
      <c r="E17" s="34"/>
      <c r="F17" s="35" t="n">
        <v>18.56</v>
      </c>
    </row>
    <row r="18" customFormat="false" ht="15" hidden="false" customHeight="false" outlineLevel="0" collapsed="false">
      <c r="A18" s="5" t="s">
        <v>54</v>
      </c>
      <c r="B18" s="31"/>
      <c r="C18" s="32"/>
      <c r="D18" s="33" t="n">
        <v>3.66</v>
      </c>
      <c r="E18" s="34"/>
      <c r="F18" s="35" t="n">
        <v>3.66</v>
      </c>
    </row>
    <row r="19" customFormat="false" ht="15" hidden="false" customHeight="false" outlineLevel="0" collapsed="false">
      <c r="A19" s="5" t="s">
        <v>55</v>
      </c>
      <c r="B19" s="31"/>
      <c r="C19" s="32"/>
      <c r="D19" s="33" t="n">
        <v>7.64</v>
      </c>
      <c r="E19" s="34"/>
      <c r="F19" s="35" t="n">
        <v>7.64</v>
      </c>
    </row>
    <row r="20" customFormat="false" ht="15" hidden="false" customHeight="false" outlineLevel="0" collapsed="false">
      <c r="A20" s="5" t="s">
        <v>57</v>
      </c>
      <c r="B20" s="31"/>
      <c r="C20" s="32"/>
      <c r="D20" s="33" t="n">
        <v>3.43</v>
      </c>
      <c r="E20" s="34"/>
      <c r="F20" s="35" t="n">
        <v>3.43</v>
      </c>
    </row>
    <row r="21" customFormat="false" ht="15" hidden="false" customHeight="false" outlineLevel="0" collapsed="false">
      <c r="A21" s="5" t="s">
        <v>58</v>
      </c>
      <c r="B21" s="31"/>
      <c r="C21" s="32"/>
      <c r="D21" s="32"/>
      <c r="E21" s="36" t="n">
        <v>1.2</v>
      </c>
      <c r="F21" s="35" t="n">
        <v>1.2</v>
      </c>
    </row>
    <row r="22" customFormat="false" ht="15" hidden="false" customHeight="false" outlineLevel="0" collapsed="false">
      <c r="A22" s="5" t="s">
        <v>60</v>
      </c>
      <c r="B22" s="31"/>
      <c r="C22" s="32"/>
      <c r="D22" s="32"/>
      <c r="E22" s="36" t="n">
        <v>1</v>
      </c>
      <c r="F22" s="35" t="n">
        <v>1</v>
      </c>
    </row>
    <row r="23" customFormat="false" ht="15" hidden="false" customHeight="false" outlineLevel="0" collapsed="false">
      <c r="A23" s="5" t="s">
        <v>61</v>
      </c>
      <c r="B23" s="31"/>
      <c r="C23" s="33" t="n">
        <v>3.9</v>
      </c>
      <c r="D23" s="32"/>
      <c r="E23" s="34"/>
      <c r="F23" s="35" t="n">
        <v>3.9</v>
      </c>
    </row>
    <row r="24" customFormat="false" ht="15" hidden="false" customHeight="false" outlineLevel="0" collapsed="false">
      <c r="A24" s="5" t="s">
        <v>62</v>
      </c>
      <c r="B24" s="37" t="n">
        <v>9.54</v>
      </c>
      <c r="C24" s="32"/>
      <c r="D24" s="32"/>
      <c r="E24" s="34"/>
      <c r="F24" s="35" t="n">
        <v>9.54</v>
      </c>
    </row>
    <row r="25" customFormat="false" ht="15" hidden="false" customHeight="false" outlineLevel="0" collapsed="false">
      <c r="A25" s="5" t="s">
        <v>63</v>
      </c>
      <c r="B25" s="37" t="n">
        <v>9.95</v>
      </c>
      <c r="C25" s="32"/>
      <c r="D25" s="32"/>
      <c r="E25" s="34"/>
      <c r="F25" s="35" t="n">
        <v>9.95</v>
      </c>
    </row>
    <row r="26" customFormat="false" ht="15" hidden="false" customHeight="false" outlineLevel="0" collapsed="false">
      <c r="A26" s="5" t="s">
        <v>64</v>
      </c>
      <c r="B26" s="31"/>
      <c r="C26" s="33" t="n">
        <v>10.15</v>
      </c>
      <c r="D26" s="32"/>
      <c r="E26" s="34"/>
      <c r="F26" s="35" t="n">
        <v>10.15</v>
      </c>
    </row>
    <row r="27" customFormat="false" ht="15" hidden="false" customHeight="false" outlineLevel="0" collapsed="false">
      <c r="A27" s="5" t="s">
        <v>65</v>
      </c>
      <c r="B27" s="31"/>
      <c r="C27" s="32"/>
      <c r="D27" s="32"/>
      <c r="E27" s="36" t="n">
        <v>14.19</v>
      </c>
      <c r="F27" s="35" t="n">
        <v>14.19</v>
      </c>
    </row>
    <row r="28" customFormat="false" ht="15" hidden="false" customHeight="false" outlineLevel="0" collapsed="false">
      <c r="A28" s="5" t="s">
        <v>66</v>
      </c>
      <c r="B28" s="31"/>
      <c r="C28" s="32"/>
      <c r="D28" s="33" t="n">
        <v>10.17</v>
      </c>
      <c r="E28" s="34"/>
      <c r="F28" s="35" t="n">
        <v>10.17</v>
      </c>
    </row>
    <row r="29" customFormat="false" ht="15" hidden="false" customHeight="false" outlineLevel="0" collapsed="false">
      <c r="A29" s="5" t="s">
        <v>68</v>
      </c>
      <c r="B29" s="31"/>
      <c r="C29" s="32"/>
      <c r="D29" s="33" t="n">
        <v>9.6</v>
      </c>
      <c r="E29" s="34"/>
      <c r="F29" s="35" t="n">
        <v>9.6</v>
      </c>
    </row>
    <row r="30" customFormat="false" ht="15" hidden="false" customHeight="false" outlineLevel="0" collapsed="false">
      <c r="A30" s="5" t="s">
        <v>69</v>
      </c>
      <c r="B30" s="31"/>
      <c r="C30" s="32"/>
      <c r="D30" s="32"/>
      <c r="E30" s="36" t="n">
        <v>5.5</v>
      </c>
      <c r="F30" s="35" t="n">
        <v>5.5</v>
      </c>
    </row>
    <row r="31" customFormat="false" ht="15" hidden="false" customHeight="false" outlineLevel="0" collapsed="false">
      <c r="A31" s="5" t="s">
        <v>70</v>
      </c>
      <c r="B31" s="31"/>
      <c r="C31" s="32"/>
      <c r="D31" s="32"/>
      <c r="E31" s="36" t="n">
        <v>6.46</v>
      </c>
      <c r="F31" s="35" t="n">
        <v>6.46</v>
      </c>
    </row>
    <row r="32" customFormat="false" ht="15" hidden="false" customHeight="false" outlineLevel="0" collapsed="false">
      <c r="A32" s="5" t="s">
        <v>71</v>
      </c>
      <c r="B32" s="31"/>
      <c r="C32" s="32"/>
      <c r="D32" s="32"/>
      <c r="E32" s="36" t="n">
        <v>9.3</v>
      </c>
      <c r="F32" s="35" t="n">
        <v>9.3</v>
      </c>
    </row>
    <row r="33" customFormat="false" ht="15" hidden="false" customHeight="false" outlineLevel="0" collapsed="false">
      <c r="A33" s="5" t="s">
        <v>72</v>
      </c>
      <c r="B33" s="31"/>
      <c r="C33" s="32"/>
      <c r="D33" s="32"/>
      <c r="E33" s="36" t="n">
        <v>4.5</v>
      </c>
      <c r="F33" s="35" t="n">
        <v>4.5</v>
      </c>
    </row>
    <row r="34" customFormat="false" ht="15" hidden="false" customHeight="false" outlineLevel="0" collapsed="false">
      <c r="A34" s="5" t="s">
        <v>73</v>
      </c>
      <c r="B34" s="31"/>
      <c r="C34" s="32"/>
      <c r="D34" s="32"/>
      <c r="E34" s="36" t="n">
        <v>2.5</v>
      </c>
      <c r="F34" s="35" t="n">
        <v>2.5</v>
      </c>
    </row>
    <row r="35" customFormat="false" ht="15" hidden="false" customHeight="false" outlineLevel="0" collapsed="false">
      <c r="A35" s="5" t="s">
        <v>74</v>
      </c>
      <c r="B35" s="31"/>
      <c r="C35" s="32"/>
      <c r="D35" s="33" t="n">
        <v>15.97</v>
      </c>
      <c r="E35" s="34"/>
      <c r="F35" s="35" t="n">
        <v>15.97</v>
      </c>
    </row>
    <row r="36" customFormat="false" ht="15" hidden="false" customHeight="false" outlineLevel="0" collapsed="false">
      <c r="A36" s="5" t="s">
        <v>75</v>
      </c>
      <c r="B36" s="31"/>
      <c r="C36" s="32"/>
      <c r="D36" s="33" t="n">
        <v>21.77</v>
      </c>
      <c r="E36" s="34"/>
      <c r="F36" s="35" t="n">
        <v>21.77</v>
      </c>
    </row>
    <row r="37" customFormat="false" ht="15" hidden="false" customHeight="false" outlineLevel="0" collapsed="false">
      <c r="A37" s="5" t="s">
        <v>76</v>
      </c>
      <c r="B37" s="31"/>
      <c r="C37" s="32"/>
      <c r="D37" s="33" t="n">
        <v>3.83</v>
      </c>
      <c r="E37" s="34"/>
      <c r="F37" s="35" t="n">
        <v>3.83</v>
      </c>
    </row>
    <row r="38" customFormat="false" ht="15" hidden="false" customHeight="false" outlineLevel="0" collapsed="false">
      <c r="A38" s="5" t="s">
        <v>77</v>
      </c>
      <c r="B38" s="31"/>
      <c r="C38" s="32"/>
      <c r="D38" s="33" t="n">
        <v>10.91</v>
      </c>
      <c r="E38" s="34"/>
      <c r="F38" s="35" t="n">
        <v>10.91</v>
      </c>
    </row>
    <row r="39" customFormat="false" ht="15" hidden="false" customHeight="false" outlineLevel="0" collapsed="false">
      <c r="A39" s="5" t="s">
        <v>78</v>
      </c>
      <c r="B39" s="31"/>
      <c r="C39" s="32"/>
      <c r="D39" s="33" t="n">
        <v>10.11</v>
      </c>
      <c r="E39" s="34"/>
      <c r="F39" s="35" t="n">
        <v>10.11</v>
      </c>
    </row>
    <row r="40" customFormat="false" ht="15" hidden="false" customHeight="false" outlineLevel="0" collapsed="false">
      <c r="A40" s="5" t="s">
        <v>79</v>
      </c>
      <c r="B40" s="31"/>
      <c r="C40" s="32"/>
      <c r="D40" s="33" t="n">
        <v>4.16</v>
      </c>
      <c r="E40" s="34"/>
      <c r="F40" s="35" t="n">
        <v>4.16</v>
      </c>
    </row>
    <row r="41" customFormat="false" ht="15" hidden="false" customHeight="false" outlineLevel="0" collapsed="false">
      <c r="A41" s="5" t="s">
        <v>80</v>
      </c>
      <c r="B41" s="31"/>
      <c r="C41" s="32"/>
      <c r="D41" s="33" t="n">
        <v>7.98</v>
      </c>
      <c r="E41" s="34"/>
      <c r="F41" s="35" t="n">
        <v>7.98</v>
      </c>
    </row>
    <row r="42" customFormat="false" ht="15" hidden="false" customHeight="false" outlineLevel="0" collapsed="false">
      <c r="A42" s="5" t="s">
        <v>81</v>
      </c>
      <c r="B42" s="37" t="n">
        <v>3.1</v>
      </c>
      <c r="C42" s="32"/>
      <c r="D42" s="32"/>
      <c r="E42" s="36" t="n">
        <v>3.3</v>
      </c>
      <c r="F42" s="35" t="n">
        <v>6.4</v>
      </c>
    </row>
    <row r="43" customFormat="false" ht="15" hidden="false" customHeight="false" outlineLevel="0" collapsed="false">
      <c r="A43" s="5" t="s">
        <v>82</v>
      </c>
      <c r="B43" s="37" t="n">
        <v>8.69</v>
      </c>
      <c r="C43" s="32"/>
      <c r="D43" s="32"/>
      <c r="E43" s="34"/>
      <c r="F43" s="35" t="n">
        <v>8.69</v>
      </c>
    </row>
    <row r="44" customFormat="false" ht="15" hidden="false" customHeight="false" outlineLevel="0" collapsed="false">
      <c r="A44" s="5" t="s">
        <v>83</v>
      </c>
      <c r="B44" s="31"/>
      <c r="C44" s="32"/>
      <c r="D44" s="33" t="n">
        <v>3.83</v>
      </c>
      <c r="E44" s="34"/>
      <c r="F44" s="35" t="n">
        <v>3.83</v>
      </c>
    </row>
    <row r="45" customFormat="false" ht="15" hidden="false" customHeight="false" outlineLevel="0" collapsed="false">
      <c r="A45" s="5" t="s">
        <v>84</v>
      </c>
      <c r="B45" s="31"/>
      <c r="C45" s="32"/>
      <c r="D45" s="33" t="n">
        <v>16.61</v>
      </c>
      <c r="E45" s="34"/>
      <c r="F45" s="35" t="n">
        <v>16.61</v>
      </c>
    </row>
    <row r="46" customFormat="false" ht="15" hidden="false" customHeight="false" outlineLevel="0" collapsed="false">
      <c r="A46" s="5" t="s">
        <v>85</v>
      </c>
      <c r="B46" s="31"/>
      <c r="C46" s="33" t="n">
        <v>1.71</v>
      </c>
      <c r="D46" s="32"/>
      <c r="E46" s="34"/>
      <c r="F46" s="35" t="n">
        <v>1.71</v>
      </c>
    </row>
    <row r="47" customFormat="false" ht="15" hidden="false" customHeight="false" outlineLevel="0" collapsed="false">
      <c r="A47" s="5" t="s">
        <v>87</v>
      </c>
      <c r="B47" s="31"/>
      <c r="C47" s="32"/>
      <c r="D47" s="32"/>
      <c r="E47" s="36" t="n">
        <v>4.5</v>
      </c>
      <c r="F47" s="35" t="n">
        <v>4.5</v>
      </c>
    </row>
    <row r="48" customFormat="false" ht="15" hidden="false" customHeight="false" outlineLevel="0" collapsed="false">
      <c r="A48" s="5" t="s">
        <v>88</v>
      </c>
      <c r="B48" s="31"/>
      <c r="C48" s="33" t="n">
        <v>5.42</v>
      </c>
      <c r="D48" s="32"/>
      <c r="E48" s="34"/>
      <c r="F48" s="35" t="n">
        <v>5.42</v>
      </c>
    </row>
    <row r="49" customFormat="false" ht="15" hidden="false" customHeight="false" outlineLevel="0" collapsed="false">
      <c r="A49" s="5" t="s">
        <v>89</v>
      </c>
      <c r="B49" s="37" t="n">
        <v>15.2</v>
      </c>
      <c r="C49" s="32"/>
      <c r="D49" s="32"/>
      <c r="E49" s="34"/>
      <c r="F49" s="35" t="n">
        <v>15.2</v>
      </c>
    </row>
    <row r="50" customFormat="false" ht="15" hidden="false" customHeight="false" outlineLevel="0" collapsed="false">
      <c r="A50" s="5" t="s">
        <v>90</v>
      </c>
      <c r="B50" s="37" t="n">
        <v>11.87</v>
      </c>
      <c r="C50" s="32"/>
      <c r="D50" s="32"/>
      <c r="E50" s="34"/>
      <c r="F50" s="35" t="n">
        <v>11.87</v>
      </c>
    </row>
    <row r="51" customFormat="false" ht="15" hidden="false" customHeight="false" outlineLevel="0" collapsed="false">
      <c r="A51" s="5" t="s">
        <v>91</v>
      </c>
      <c r="B51" s="37" t="n">
        <v>4.18</v>
      </c>
      <c r="C51" s="32"/>
      <c r="D51" s="32"/>
      <c r="E51" s="34"/>
      <c r="F51" s="35" t="n">
        <v>4.18</v>
      </c>
    </row>
    <row r="52" customFormat="false" ht="15" hidden="false" customHeight="false" outlineLevel="0" collapsed="false">
      <c r="A52" s="5" t="s">
        <v>93</v>
      </c>
      <c r="B52" s="37" t="n">
        <v>4.18</v>
      </c>
      <c r="C52" s="32"/>
      <c r="D52" s="32"/>
      <c r="E52" s="34"/>
      <c r="F52" s="35" t="n">
        <v>4.18</v>
      </c>
    </row>
    <row r="53" customFormat="false" ht="15" hidden="false" customHeight="false" outlineLevel="0" collapsed="false">
      <c r="A53" s="5" t="s">
        <v>94</v>
      </c>
      <c r="B53" s="37" t="n">
        <v>4.18</v>
      </c>
      <c r="C53" s="32"/>
      <c r="D53" s="32"/>
      <c r="E53" s="34"/>
      <c r="F53" s="35" t="n">
        <v>4.18</v>
      </c>
    </row>
    <row r="54" customFormat="false" ht="15" hidden="false" customHeight="false" outlineLevel="0" collapsed="false">
      <c r="A54" s="5" t="s">
        <v>95</v>
      </c>
      <c r="B54" s="37" t="n">
        <v>4.18</v>
      </c>
      <c r="C54" s="32"/>
      <c r="D54" s="32"/>
      <c r="E54" s="34"/>
      <c r="F54" s="35" t="n">
        <v>4.18</v>
      </c>
    </row>
    <row r="55" customFormat="false" ht="15" hidden="false" customHeight="false" outlineLevel="0" collapsed="false">
      <c r="A55" s="5" t="s">
        <v>97</v>
      </c>
      <c r="B55" s="37" t="n">
        <v>3.9</v>
      </c>
      <c r="C55" s="32"/>
      <c r="D55" s="32"/>
      <c r="E55" s="34"/>
      <c r="F55" s="35" t="n">
        <v>3.9</v>
      </c>
    </row>
    <row r="56" customFormat="false" ht="15" hidden="false" customHeight="false" outlineLevel="0" collapsed="false">
      <c r="A56" s="5" t="s">
        <v>98</v>
      </c>
      <c r="B56" s="37" t="n">
        <v>3.9</v>
      </c>
      <c r="C56" s="32"/>
      <c r="D56" s="32"/>
      <c r="E56" s="34"/>
      <c r="F56" s="35" t="n">
        <v>3.9</v>
      </c>
    </row>
    <row r="57" customFormat="false" ht="15" hidden="false" customHeight="false" outlineLevel="0" collapsed="false">
      <c r="A57" s="5" t="s">
        <v>99</v>
      </c>
      <c r="B57" s="37" t="n">
        <v>3.9</v>
      </c>
      <c r="C57" s="32"/>
      <c r="D57" s="32"/>
      <c r="E57" s="34"/>
      <c r="F57" s="35" t="n">
        <v>3.9</v>
      </c>
    </row>
    <row r="58" customFormat="false" ht="15" hidden="false" customHeight="false" outlineLevel="0" collapsed="false">
      <c r="A58" s="5" t="s">
        <v>100</v>
      </c>
      <c r="B58" s="31"/>
      <c r="C58" s="32"/>
      <c r="D58" s="32"/>
      <c r="E58" s="36" t="n">
        <v>8.71</v>
      </c>
      <c r="F58" s="35" t="n">
        <v>8.71</v>
      </c>
    </row>
    <row r="59" customFormat="false" ht="15" hidden="false" customHeight="false" outlineLevel="0" collapsed="false">
      <c r="A59" s="5" t="s">
        <v>101</v>
      </c>
      <c r="B59" s="31"/>
      <c r="C59" s="32"/>
      <c r="D59" s="32"/>
      <c r="E59" s="36" t="n">
        <v>7.92</v>
      </c>
      <c r="F59" s="35" t="n">
        <v>7.92</v>
      </c>
    </row>
    <row r="60" customFormat="false" ht="15" hidden="false" customHeight="false" outlineLevel="0" collapsed="false">
      <c r="A60" s="5" t="s">
        <v>102</v>
      </c>
      <c r="B60" s="31"/>
      <c r="C60" s="32"/>
      <c r="D60" s="32"/>
      <c r="E60" s="36" t="n">
        <v>9.01</v>
      </c>
      <c r="F60" s="35" t="n">
        <v>9.01</v>
      </c>
    </row>
    <row r="61" customFormat="false" ht="15" hidden="false" customHeight="false" outlineLevel="0" collapsed="false">
      <c r="A61" s="5" t="s">
        <v>103</v>
      </c>
      <c r="B61" s="31"/>
      <c r="C61" s="32"/>
      <c r="D61" s="32"/>
      <c r="E61" s="36" t="n">
        <v>8.99</v>
      </c>
      <c r="F61" s="35" t="n">
        <v>8.99</v>
      </c>
    </row>
    <row r="62" customFormat="false" ht="15" hidden="false" customHeight="false" outlineLevel="0" collapsed="false">
      <c r="A62" s="5" t="s">
        <v>104</v>
      </c>
      <c r="B62" s="31"/>
      <c r="C62" s="32"/>
      <c r="D62" s="32"/>
      <c r="E62" s="36" t="n">
        <v>6.27</v>
      </c>
      <c r="F62" s="35" t="n">
        <v>6.27</v>
      </c>
    </row>
    <row r="63" customFormat="false" ht="15" hidden="false" customHeight="false" outlineLevel="0" collapsed="false">
      <c r="A63" s="5" t="s">
        <v>105</v>
      </c>
      <c r="B63" s="31"/>
      <c r="C63" s="32"/>
      <c r="D63" s="32"/>
      <c r="E63" s="36" t="n">
        <v>5.86</v>
      </c>
      <c r="F63" s="35" t="n">
        <v>5.86</v>
      </c>
    </row>
    <row r="64" customFormat="false" ht="15" hidden="false" customHeight="false" outlineLevel="0" collapsed="false">
      <c r="A64" s="5" t="s">
        <v>106</v>
      </c>
      <c r="B64" s="31"/>
      <c r="C64" s="32"/>
      <c r="D64" s="32"/>
      <c r="E64" s="36" t="n">
        <v>6.4</v>
      </c>
      <c r="F64" s="35" t="n">
        <v>6.4</v>
      </c>
    </row>
    <row r="65" customFormat="false" ht="15" hidden="false" customHeight="false" outlineLevel="0" collapsed="false">
      <c r="A65" s="5" t="s">
        <v>107</v>
      </c>
      <c r="B65" s="31"/>
      <c r="C65" s="32"/>
      <c r="D65" s="32"/>
      <c r="E65" s="36" t="n">
        <v>11.79</v>
      </c>
      <c r="F65" s="35" t="n">
        <v>11.79</v>
      </c>
    </row>
    <row r="66" customFormat="false" ht="15" hidden="false" customHeight="false" outlineLevel="0" collapsed="false">
      <c r="A66" s="5" t="s">
        <v>108</v>
      </c>
      <c r="B66" s="31"/>
      <c r="C66" s="32"/>
      <c r="D66" s="32"/>
      <c r="E66" s="36" t="n">
        <v>7.21</v>
      </c>
      <c r="F66" s="35" t="n">
        <v>7.21</v>
      </c>
    </row>
    <row r="67" customFormat="false" ht="15" hidden="false" customHeight="false" outlineLevel="0" collapsed="false">
      <c r="A67" s="5" t="s">
        <v>109</v>
      </c>
      <c r="B67" s="31"/>
      <c r="C67" s="32"/>
      <c r="D67" s="32"/>
      <c r="E67" s="36" t="n">
        <v>7.21</v>
      </c>
      <c r="F67" s="35" t="n">
        <v>7.21</v>
      </c>
    </row>
    <row r="68" customFormat="false" ht="15" hidden="false" customHeight="false" outlineLevel="0" collapsed="false">
      <c r="A68" s="5" t="s">
        <v>110</v>
      </c>
      <c r="B68" s="31"/>
      <c r="C68" s="32"/>
      <c r="D68" s="32"/>
      <c r="E68" s="36" t="n">
        <v>8.9</v>
      </c>
      <c r="F68" s="35" t="n">
        <v>8.9</v>
      </c>
    </row>
    <row r="69" customFormat="false" ht="15" hidden="false" customHeight="false" outlineLevel="0" collapsed="false">
      <c r="A69" s="5" t="s">
        <v>111</v>
      </c>
      <c r="B69" s="37" t="n">
        <v>18.69</v>
      </c>
      <c r="C69" s="32"/>
      <c r="D69" s="32"/>
      <c r="E69" s="34"/>
      <c r="F69" s="35" t="n">
        <v>18.69</v>
      </c>
    </row>
    <row r="70" customFormat="false" ht="15" hidden="false" customHeight="false" outlineLevel="0" collapsed="false">
      <c r="A70" s="5" t="s">
        <v>112</v>
      </c>
      <c r="B70" s="31"/>
      <c r="C70" s="32"/>
      <c r="D70" s="32"/>
      <c r="E70" s="36" t="n">
        <v>4.5</v>
      </c>
      <c r="F70" s="35" t="n">
        <v>4.5</v>
      </c>
    </row>
    <row r="71" customFormat="false" ht="15" hidden="false" customHeight="false" outlineLevel="0" collapsed="false">
      <c r="A71" s="5" t="s">
        <v>113</v>
      </c>
      <c r="B71" s="31"/>
      <c r="C71" s="32"/>
      <c r="D71" s="33" t="n">
        <v>8.05</v>
      </c>
      <c r="E71" s="34"/>
      <c r="F71" s="35" t="n">
        <v>8.05</v>
      </c>
    </row>
    <row r="72" customFormat="false" ht="15" hidden="false" customHeight="false" outlineLevel="0" collapsed="false">
      <c r="A72" s="5" t="s">
        <v>114</v>
      </c>
      <c r="B72" s="37" t="n">
        <v>19.9</v>
      </c>
      <c r="C72" s="32"/>
      <c r="D72" s="32"/>
      <c r="E72" s="34"/>
      <c r="F72" s="35" t="n">
        <v>19.9</v>
      </c>
    </row>
    <row r="73" customFormat="false" ht="15" hidden="false" customHeight="false" outlineLevel="0" collapsed="false">
      <c r="A73" s="5" t="s">
        <v>116</v>
      </c>
      <c r="B73" s="31"/>
      <c r="C73" s="32"/>
      <c r="D73" s="32"/>
      <c r="E73" s="36" t="n">
        <v>6.4</v>
      </c>
      <c r="F73" s="35" t="n">
        <v>6.4</v>
      </c>
    </row>
    <row r="74" customFormat="false" ht="15" hidden="false" customHeight="false" outlineLevel="0" collapsed="false">
      <c r="A74" s="5" t="s">
        <v>117</v>
      </c>
      <c r="B74" s="31"/>
      <c r="C74" s="32"/>
      <c r="D74" s="33" t="n">
        <v>15.25</v>
      </c>
      <c r="E74" s="34"/>
      <c r="F74" s="35" t="n">
        <v>15.25</v>
      </c>
    </row>
    <row r="75" customFormat="false" ht="15" hidden="false" customHeight="false" outlineLevel="0" collapsed="false">
      <c r="A75" s="5" t="s">
        <v>118</v>
      </c>
      <c r="B75" s="31"/>
      <c r="C75" s="32"/>
      <c r="D75" s="33" t="n">
        <v>3.04</v>
      </c>
      <c r="E75" s="34"/>
      <c r="F75" s="35" t="n">
        <v>3.04</v>
      </c>
    </row>
    <row r="76" customFormat="false" ht="15" hidden="false" customHeight="false" outlineLevel="0" collapsed="false">
      <c r="A76" s="5" t="s">
        <v>119</v>
      </c>
      <c r="B76" s="31"/>
      <c r="C76" s="32"/>
      <c r="D76" s="33" t="n">
        <v>3.74</v>
      </c>
      <c r="E76" s="34"/>
      <c r="F76" s="35" t="n">
        <v>3.74</v>
      </c>
    </row>
    <row r="77" customFormat="false" ht="15" hidden="false" customHeight="false" outlineLevel="0" collapsed="false">
      <c r="A77" s="5" t="s">
        <v>120</v>
      </c>
      <c r="B77" s="31"/>
      <c r="C77" s="32"/>
      <c r="D77" s="32"/>
      <c r="E77" s="36" t="n">
        <v>1.34</v>
      </c>
      <c r="F77" s="35" t="n">
        <v>1.34</v>
      </c>
    </row>
    <row r="78" customFormat="false" ht="15" hidden="false" customHeight="false" outlineLevel="0" collapsed="false">
      <c r="A78" s="5" t="s">
        <v>121</v>
      </c>
      <c r="B78" s="31"/>
      <c r="C78" s="32"/>
      <c r="D78" s="32"/>
      <c r="E78" s="36" t="n">
        <v>2.52</v>
      </c>
      <c r="F78" s="35" t="n">
        <v>2.52</v>
      </c>
    </row>
    <row r="79" customFormat="false" ht="15" hidden="false" customHeight="false" outlineLevel="0" collapsed="false">
      <c r="A79" s="5" t="s">
        <v>122</v>
      </c>
      <c r="B79" s="31"/>
      <c r="C79" s="32"/>
      <c r="D79" s="32"/>
      <c r="E79" s="36" t="n">
        <v>3.75</v>
      </c>
      <c r="F79" s="35" t="n">
        <v>3.75</v>
      </c>
    </row>
    <row r="80" customFormat="false" ht="15" hidden="false" customHeight="false" outlineLevel="0" collapsed="false">
      <c r="A80" s="5" t="s">
        <v>123</v>
      </c>
      <c r="B80" s="31"/>
      <c r="C80" s="32"/>
      <c r="D80" s="33" t="n">
        <v>3.61</v>
      </c>
      <c r="E80" s="34"/>
      <c r="F80" s="35" t="n">
        <v>3.61</v>
      </c>
    </row>
    <row r="81" customFormat="false" ht="15" hidden="false" customHeight="false" outlineLevel="0" collapsed="false">
      <c r="A81" s="5" t="s">
        <v>124</v>
      </c>
      <c r="B81" s="38"/>
      <c r="C81" s="39" t="n">
        <v>1.72</v>
      </c>
      <c r="D81" s="40"/>
      <c r="E81" s="41"/>
      <c r="F81" s="42" t="n">
        <v>1.72</v>
      </c>
    </row>
    <row r="82" customFormat="false" ht="15" hidden="false" customHeight="false" outlineLevel="0" collapsed="false">
      <c r="A82" s="8" t="s">
        <v>12</v>
      </c>
      <c r="B82" s="43" t="n">
        <v>125.36</v>
      </c>
      <c r="C82" s="44" t="n">
        <v>22.9</v>
      </c>
      <c r="D82" s="44" t="n">
        <v>327.8</v>
      </c>
      <c r="E82" s="45" t="n">
        <v>163.13</v>
      </c>
      <c r="F82" s="46" t="n">
        <v>639.19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Roman,Standaard"&amp;12&amp;A</oddHeader>
    <oddFooter>&amp;C&amp;"Times New Roman,Standaard"&amp;12Страница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68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J9" activeCellId="0" sqref="J9"/>
    </sheetView>
  </sheetViews>
  <sheetFormatPr defaultRowHeight="15" zeroHeight="false" outlineLevelRow="0" outlineLevelCol="0"/>
  <cols>
    <col collapsed="false" customWidth="true" hidden="false" outlineLevel="0" max="1" min="1" style="47" width="8.99"/>
    <col collapsed="false" customWidth="true" hidden="false" outlineLevel="0" max="2" min="2" style="48" width="9.14"/>
    <col collapsed="false" customWidth="true" hidden="false" outlineLevel="0" max="3" min="3" style="47" width="16.29"/>
    <col collapsed="false" customWidth="true" hidden="false" outlineLevel="0" max="4" min="4" style="47" width="30.71"/>
    <col collapsed="false" customWidth="true" hidden="false" outlineLevel="0" max="5" min="5" style="47" width="37.52"/>
    <col collapsed="false" customWidth="true" hidden="false" outlineLevel="0" max="6" min="6" style="47" width="21.28"/>
    <col collapsed="false" customWidth="true" hidden="false" outlineLevel="0" max="7" min="7" style="47" width="25.41"/>
    <col collapsed="false" customWidth="true" hidden="false" outlineLevel="0" max="8" min="8" style="47" width="17.29"/>
    <col collapsed="false" customWidth="true" hidden="false" outlineLevel="0" max="9" min="9" style="47" width="8.99"/>
    <col collapsed="false" customWidth="true" hidden="false" outlineLevel="0" max="10" min="10" style="47" width="17.71"/>
    <col collapsed="false" customWidth="true" hidden="false" outlineLevel="0" max="11" min="11" style="47" width="30.71"/>
    <col collapsed="false" customWidth="true" hidden="false" outlineLevel="0" max="1025" min="12" style="47" width="8.99"/>
  </cols>
  <sheetData>
    <row r="1" customFormat="false" ht="15" hidden="false" customHeight="false" outlineLevel="0" collapsed="false">
      <c r="A1" s="49" t="s">
        <v>127</v>
      </c>
      <c r="D1" s="49"/>
      <c r="E1" s="49"/>
    </row>
    <row r="2" customFormat="false" ht="13.8" hidden="false" customHeight="false" outlineLevel="0" collapsed="false">
      <c r="A2" s="49" t="s">
        <v>13</v>
      </c>
      <c r="B2" s="50" t="s">
        <v>15</v>
      </c>
      <c r="C2" s="49" t="s">
        <v>128</v>
      </c>
      <c r="D2" s="49" t="s">
        <v>16</v>
      </c>
      <c r="E2" s="49" t="s">
        <v>19</v>
      </c>
      <c r="F2" s="49" t="s">
        <v>129</v>
      </c>
      <c r="G2" s="49" t="s">
        <v>130</v>
      </c>
      <c r="H2" s="49" t="s">
        <v>131</v>
      </c>
      <c r="I2" s="49" t="s">
        <v>132</v>
      </c>
      <c r="J2" s="49" t="s">
        <v>17</v>
      </c>
      <c r="K2" s="49" t="s">
        <v>133</v>
      </c>
    </row>
    <row r="3" customFormat="false" ht="13.8" hidden="false" customHeight="false" outlineLevel="0" collapsed="false">
      <c r="A3" s="47" t="n">
        <v>37</v>
      </c>
      <c r="B3" s="48" t="n">
        <v>40917</v>
      </c>
      <c r="C3" s="47" t="n">
        <v>9</v>
      </c>
      <c r="D3" s="47" t="s">
        <v>30</v>
      </c>
      <c r="E3" s="47" t="n">
        <f aca="false">VLOOKUP(D3,приход!$T$3:$U$117,2,0)</f>
        <v>24</v>
      </c>
      <c r="F3" s="47" t="n">
        <v>1</v>
      </c>
      <c r="G3" s="47" t="n">
        <f aca="false">F3*E3</f>
        <v>24</v>
      </c>
      <c r="H3" s="47" t="n">
        <v>4.8</v>
      </c>
      <c r="I3" s="47" t="n">
        <f aca="false">H3*G3</f>
        <v>115.2</v>
      </c>
      <c r="J3" s="47" t="n">
        <f aca="false">VLOOKUP(D3,приход!$D$3:$E$117,2,0)</f>
        <v>4</v>
      </c>
      <c r="K3" s="47" t="s">
        <v>134</v>
      </c>
    </row>
    <row r="4" customFormat="false" ht="13.8" hidden="false" customHeight="false" outlineLevel="0" collapsed="false">
      <c r="A4" s="47" t="n">
        <v>57</v>
      </c>
      <c r="B4" s="48" t="n">
        <v>40921</v>
      </c>
      <c r="C4" s="47" t="n">
        <v>13</v>
      </c>
      <c r="D4" s="47" t="s">
        <v>30</v>
      </c>
      <c r="E4" s="47" t="n">
        <f aca="false">VLOOKUP(D4,приход!$T$3:$U$117,2,0)</f>
        <v>24</v>
      </c>
      <c r="F4" s="47" t="n">
        <v>6</v>
      </c>
      <c r="G4" s="47" t="n">
        <f aca="false">F4*E4</f>
        <v>144</v>
      </c>
      <c r="H4" s="47" t="n">
        <v>4.9</v>
      </c>
      <c r="I4" s="47" t="n">
        <f aca="false">H4*G4</f>
        <v>705.6</v>
      </c>
      <c r="J4" s="47" t="n">
        <f aca="false">VLOOKUP(D4,приход!$D$3:$E$117,2,0)</f>
        <v>4</v>
      </c>
      <c r="K4" s="47" t="s">
        <v>135</v>
      </c>
    </row>
    <row r="5" customFormat="false" ht="13.8" hidden="false" customHeight="false" outlineLevel="0" collapsed="false">
      <c r="A5" s="47" t="n">
        <v>2</v>
      </c>
      <c r="B5" s="48" t="n">
        <v>40914</v>
      </c>
      <c r="C5" s="47" t="n">
        <v>1</v>
      </c>
      <c r="D5" s="47" t="s">
        <v>40</v>
      </c>
      <c r="E5" s="47" t="n">
        <f aca="false">VLOOKUP(D5,приход!$T$3:$U$117,2,0)</f>
        <v>24</v>
      </c>
      <c r="F5" s="47" t="n">
        <v>10</v>
      </c>
      <c r="G5" s="47" t="n">
        <f aca="false">F5*E5</f>
        <v>240</v>
      </c>
      <c r="H5" s="47" t="n">
        <v>5.5</v>
      </c>
      <c r="I5" s="47" t="n">
        <f aca="false">H5*G5</f>
        <v>1320</v>
      </c>
      <c r="J5" s="47" t="n">
        <f aca="false">VLOOKUP(D5,приход!$D$3:$E$117,2,0)</f>
        <v>4</v>
      </c>
      <c r="K5" s="47" t="s">
        <v>136</v>
      </c>
    </row>
    <row r="6" customFormat="false" ht="13.8" hidden="false" customHeight="false" outlineLevel="0" collapsed="false">
      <c r="A6" s="47" t="n">
        <v>7</v>
      </c>
      <c r="B6" s="48" t="n">
        <v>40914</v>
      </c>
      <c r="C6" s="47" t="n">
        <v>2</v>
      </c>
      <c r="D6" s="47" t="s">
        <v>40</v>
      </c>
      <c r="E6" s="47" t="n">
        <f aca="false">VLOOKUP(D6,приход!$T$3:$U$117,2,0)</f>
        <v>24</v>
      </c>
      <c r="F6" s="47" t="n">
        <v>2</v>
      </c>
      <c r="G6" s="47" t="n">
        <f aca="false">F6*E6</f>
        <v>48</v>
      </c>
      <c r="H6" s="47" t="n">
        <v>5.5</v>
      </c>
      <c r="I6" s="47" t="n">
        <f aca="false">H6*G6</f>
        <v>264</v>
      </c>
      <c r="J6" s="47" t="n">
        <f aca="false">VLOOKUP(D6,приход!$D$3:$E$117,2,0)</f>
        <v>4</v>
      </c>
      <c r="K6" s="47" t="s">
        <v>137</v>
      </c>
    </row>
    <row r="7" customFormat="false" ht="13.8" hidden="false" customHeight="false" outlineLevel="0" collapsed="false">
      <c r="A7" s="47" t="n">
        <v>13</v>
      </c>
      <c r="B7" s="48" t="n">
        <v>40914</v>
      </c>
      <c r="C7" s="47" t="n">
        <v>4</v>
      </c>
      <c r="D7" s="47" t="s">
        <v>40</v>
      </c>
      <c r="E7" s="47" t="n">
        <f aca="false">VLOOKUP(D7,приход!$T$3:$U$117,2,0)</f>
        <v>24</v>
      </c>
      <c r="F7" s="47" t="n">
        <v>1</v>
      </c>
      <c r="G7" s="47" t="n">
        <f aca="false">F7*E7</f>
        <v>24</v>
      </c>
      <c r="H7" s="47" t="n">
        <v>5.5</v>
      </c>
      <c r="I7" s="47" t="n">
        <f aca="false">H7*G7</f>
        <v>132</v>
      </c>
      <c r="J7" s="47" t="n">
        <f aca="false">VLOOKUP(D7,приход!$D$3:$E$117,2,0)</f>
        <v>4</v>
      </c>
      <c r="K7" s="47" t="s">
        <v>138</v>
      </c>
    </row>
    <row r="8" customFormat="false" ht="13.8" hidden="false" customHeight="false" outlineLevel="0" collapsed="false">
      <c r="A8" s="47" t="n">
        <v>19</v>
      </c>
      <c r="B8" s="48" t="n">
        <v>40916</v>
      </c>
      <c r="C8" s="47" t="n">
        <v>5</v>
      </c>
      <c r="D8" s="47" t="s">
        <v>40</v>
      </c>
      <c r="E8" s="47" t="n">
        <f aca="false">VLOOKUP(D8,приход!$T$3:$U$117,2,0)</f>
        <v>24</v>
      </c>
      <c r="F8" s="47" t="n">
        <v>1</v>
      </c>
      <c r="G8" s="47" t="n">
        <f aca="false">F8*E8</f>
        <v>24</v>
      </c>
      <c r="H8" s="47" t="n">
        <v>5.5</v>
      </c>
      <c r="I8" s="47" t="n">
        <f aca="false">H8*G8</f>
        <v>132</v>
      </c>
      <c r="J8" s="47" t="n">
        <f aca="false">VLOOKUP(D8,приход!$D$3:$E$117,2,0)</f>
        <v>4</v>
      </c>
      <c r="K8" s="47" t="s">
        <v>139</v>
      </c>
    </row>
    <row r="9" customFormat="false" ht="13.8" hidden="false" customHeight="false" outlineLevel="0" collapsed="false">
      <c r="A9" s="47" t="n">
        <v>24</v>
      </c>
      <c r="B9" s="48" t="n">
        <v>40916</v>
      </c>
      <c r="C9" s="47" t="n">
        <v>6</v>
      </c>
      <c r="D9" s="47" t="s">
        <v>40</v>
      </c>
      <c r="E9" s="47" t="n">
        <f aca="false">VLOOKUP(D9,приход!$T$3:$U$117,2,0)</f>
        <v>24</v>
      </c>
      <c r="F9" s="47" t="n">
        <v>1</v>
      </c>
      <c r="G9" s="47" t="n">
        <f aca="false">F9*E9</f>
        <v>24</v>
      </c>
      <c r="H9" s="47" t="n">
        <v>5.5</v>
      </c>
      <c r="I9" s="47" t="n">
        <f aca="false">H9*G9</f>
        <v>132</v>
      </c>
      <c r="J9" s="47" t="n">
        <f aca="false">VLOOKUP(D9,приход!$D$3:$E$117,2,0)</f>
        <v>4</v>
      </c>
      <c r="K9" s="47" t="s">
        <v>140</v>
      </c>
    </row>
    <row r="10" customFormat="false" ht="13.8" hidden="false" customHeight="false" outlineLevel="0" collapsed="false">
      <c r="A10" s="47" t="n">
        <v>29</v>
      </c>
      <c r="B10" s="48" t="n">
        <v>40916</v>
      </c>
      <c r="C10" s="47" t="n">
        <v>7</v>
      </c>
      <c r="D10" s="47" t="s">
        <v>40</v>
      </c>
      <c r="E10" s="47" t="n">
        <f aca="false">VLOOKUP(D10,приход!$T$3:$U$117,2,0)</f>
        <v>24</v>
      </c>
      <c r="F10" s="47" t="n">
        <v>5</v>
      </c>
      <c r="G10" s="47" t="n">
        <f aca="false">F10*E10</f>
        <v>120</v>
      </c>
      <c r="H10" s="47" t="n">
        <v>5.5</v>
      </c>
      <c r="I10" s="47" t="n">
        <f aca="false">H10*G10</f>
        <v>660</v>
      </c>
      <c r="J10" s="47" t="n">
        <f aca="false">VLOOKUP(D10,приход!$D$3:$E$117,2,0)</f>
        <v>4</v>
      </c>
      <c r="K10" s="47" t="s">
        <v>141</v>
      </c>
    </row>
    <row r="11" customFormat="false" ht="13.8" hidden="false" customHeight="false" outlineLevel="0" collapsed="false">
      <c r="A11" s="47" t="n">
        <v>46</v>
      </c>
      <c r="B11" s="48" t="n">
        <v>40917</v>
      </c>
      <c r="C11" s="47" t="n">
        <v>11</v>
      </c>
      <c r="D11" s="47" t="s">
        <v>40</v>
      </c>
      <c r="E11" s="47" t="n">
        <f aca="false">VLOOKUP(D11,приход!$T$3:$U$117,2,0)</f>
        <v>24</v>
      </c>
      <c r="F11" s="47" t="n">
        <v>1</v>
      </c>
      <c r="G11" s="47" t="n">
        <f aca="false">F11*E11</f>
        <v>24</v>
      </c>
      <c r="H11" s="47" t="n">
        <v>5.5</v>
      </c>
      <c r="I11" s="47" t="n">
        <f aca="false">H11*G11</f>
        <v>132</v>
      </c>
      <c r="J11" s="47" t="n">
        <f aca="false">VLOOKUP(D11,приход!$D$3:$E$117,2,0)</f>
        <v>4</v>
      </c>
      <c r="K11" s="47" t="s">
        <v>140</v>
      </c>
    </row>
    <row r="12" customFormat="false" ht="13.8" hidden="false" customHeight="false" outlineLevel="0" collapsed="false">
      <c r="A12" s="47" t="n">
        <v>58</v>
      </c>
      <c r="B12" s="48" t="n">
        <v>40921</v>
      </c>
      <c r="C12" s="47" t="n">
        <v>13</v>
      </c>
      <c r="D12" s="47" t="s">
        <v>40</v>
      </c>
      <c r="E12" s="47" t="n">
        <f aca="false">VLOOKUP(D12,приход!$T$3:$U$117,2,0)</f>
        <v>24</v>
      </c>
      <c r="F12" s="47" t="n">
        <v>6</v>
      </c>
      <c r="G12" s="47" t="n">
        <f aca="false">F12*E12</f>
        <v>144</v>
      </c>
      <c r="H12" s="47" t="n">
        <v>5.6</v>
      </c>
      <c r="I12" s="47" t="n">
        <f aca="false">H12*G12</f>
        <v>806.4</v>
      </c>
      <c r="J12" s="47" t="n">
        <f aca="false">VLOOKUP(D12,приход!$D$3:$E$117,2,0)</f>
        <v>4</v>
      </c>
      <c r="K12" s="47" t="s">
        <v>135</v>
      </c>
    </row>
    <row r="13" customFormat="false" ht="13.8" hidden="false" customHeight="false" outlineLevel="0" collapsed="false">
      <c r="A13" s="47" t="n">
        <v>28</v>
      </c>
      <c r="B13" s="48" t="n">
        <v>40916</v>
      </c>
      <c r="C13" s="47" t="n">
        <v>7</v>
      </c>
      <c r="D13" s="47" t="s">
        <v>41</v>
      </c>
      <c r="E13" s="47" t="n">
        <f aca="false">VLOOKUP(D13,приход!$T$3:$U$117,2,0)</f>
        <v>20</v>
      </c>
      <c r="F13" s="47" t="n">
        <v>6</v>
      </c>
      <c r="G13" s="47" t="n">
        <f aca="false">F13*E13</f>
        <v>120</v>
      </c>
      <c r="H13" s="47" t="n">
        <v>7.2</v>
      </c>
      <c r="I13" s="47" t="n">
        <f aca="false">H13*G13</f>
        <v>864</v>
      </c>
      <c r="J13" s="47" t="n">
        <f aca="false">VLOOKUP(D13,приход!$D$3:$E$117,2,0)</f>
        <v>4</v>
      </c>
      <c r="K13" s="47" t="s">
        <v>141</v>
      </c>
    </row>
    <row r="14" customFormat="false" ht="13.8" hidden="false" customHeight="false" outlineLevel="0" collapsed="false">
      <c r="A14" s="47" t="n">
        <v>36</v>
      </c>
      <c r="B14" s="48" t="n">
        <v>40917</v>
      </c>
      <c r="C14" s="47" t="n">
        <v>9</v>
      </c>
      <c r="D14" s="47" t="s">
        <v>41</v>
      </c>
      <c r="E14" s="47" t="n">
        <f aca="false">VLOOKUP(D14,приход!$T$3:$U$117,2,0)</f>
        <v>20</v>
      </c>
      <c r="F14" s="47" t="n">
        <v>2</v>
      </c>
      <c r="G14" s="47" t="n">
        <f aca="false">F14*E14</f>
        <v>40</v>
      </c>
      <c r="H14" s="47" t="n">
        <v>7.2</v>
      </c>
      <c r="I14" s="47" t="n">
        <f aca="false">H14*G14</f>
        <v>288</v>
      </c>
      <c r="J14" s="47" t="n">
        <f aca="false">VLOOKUP(D14,приход!$D$3:$E$117,2,0)</f>
        <v>4</v>
      </c>
      <c r="K14" s="47" t="s">
        <v>134</v>
      </c>
    </row>
    <row r="15" customFormat="false" ht="13.8" hidden="false" customHeight="false" outlineLevel="0" collapsed="false">
      <c r="A15" s="47" t="n">
        <v>59</v>
      </c>
      <c r="B15" s="48" t="n">
        <v>40921</v>
      </c>
      <c r="C15" s="47" t="n">
        <v>13</v>
      </c>
      <c r="D15" s="47" t="s">
        <v>44</v>
      </c>
      <c r="E15" s="47" t="n">
        <f aca="false">VLOOKUP(D15,приход!$T$3:$U$117,2,0)</f>
        <v>24</v>
      </c>
      <c r="F15" s="47" t="n">
        <v>10</v>
      </c>
      <c r="G15" s="47" t="n">
        <f aca="false">F15*E15</f>
        <v>240</v>
      </c>
      <c r="H15" s="47" t="n">
        <v>5.4</v>
      </c>
      <c r="I15" s="47" t="n">
        <f aca="false">H15*G15</f>
        <v>1296</v>
      </c>
      <c r="J15" s="47" t="n">
        <f aca="false">VLOOKUP(D15,приход!$D$3:$E$117,2,0)</f>
        <v>4</v>
      </c>
      <c r="K15" s="47" t="s">
        <v>135</v>
      </c>
    </row>
    <row r="16" customFormat="false" ht="13.8" hidden="false" customHeight="false" outlineLevel="0" collapsed="false">
      <c r="A16" s="47" t="n">
        <v>3</v>
      </c>
      <c r="B16" s="48" t="n">
        <v>40914</v>
      </c>
      <c r="C16" s="47" t="n">
        <v>1</v>
      </c>
      <c r="D16" s="47" t="s">
        <v>45</v>
      </c>
      <c r="E16" s="47" t="n">
        <f aca="false">VLOOKUP(D16,приход!$T$3:$U$117,2,0)</f>
        <v>24</v>
      </c>
      <c r="F16" s="47" t="n">
        <v>10</v>
      </c>
      <c r="G16" s="47" t="n">
        <f aca="false">F16*E16</f>
        <v>240</v>
      </c>
      <c r="H16" s="47" t="n">
        <v>5.3</v>
      </c>
      <c r="I16" s="47" t="n">
        <f aca="false">H16*G16</f>
        <v>1272</v>
      </c>
      <c r="J16" s="47" t="n">
        <f aca="false">VLOOKUP(D16,приход!$D$3:$E$117,2,0)</f>
        <v>4</v>
      </c>
      <c r="K16" s="47" t="s">
        <v>136</v>
      </c>
    </row>
    <row r="17" customFormat="false" ht="13.8" hidden="false" customHeight="false" outlineLevel="0" collapsed="false">
      <c r="A17" s="47" t="n">
        <v>8</v>
      </c>
      <c r="B17" s="48" t="n">
        <v>40914</v>
      </c>
      <c r="C17" s="47" t="n">
        <v>2</v>
      </c>
      <c r="D17" s="47" t="s">
        <v>45</v>
      </c>
      <c r="E17" s="47" t="n">
        <f aca="false">VLOOKUP(D17,приход!$T$3:$U$117,2,0)</f>
        <v>24</v>
      </c>
      <c r="F17" s="47" t="n">
        <v>2</v>
      </c>
      <c r="G17" s="47" t="n">
        <f aca="false">F17*E17</f>
        <v>48</v>
      </c>
      <c r="H17" s="47" t="n">
        <v>5.3</v>
      </c>
      <c r="I17" s="47" t="n">
        <f aca="false">H17*G17</f>
        <v>254.4</v>
      </c>
      <c r="J17" s="47" t="n">
        <f aca="false">VLOOKUP(D17,приход!$D$3:$E$117,2,0)</f>
        <v>4</v>
      </c>
      <c r="K17" s="47" t="s">
        <v>137</v>
      </c>
    </row>
    <row r="18" customFormat="false" ht="13.8" hidden="false" customHeight="false" outlineLevel="0" collapsed="false">
      <c r="A18" s="47" t="n">
        <v>14</v>
      </c>
      <c r="B18" s="48" t="n">
        <v>40914</v>
      </c>
      <c r="C18" s="47" t="n">
        <v>4</v>
      </c>
      <c r="D18" s="47" t="s">
        <v>45</v>
      </c>
      <c r="E18" s="47" t="n">
        <f aca="false">VLOOKUP(D18,приход!$T$3:$U$117,2,0)</f>
        <v>24</v>
      </c>
      <c r="F18" s="47" t="n">
        <v>1</v>
      </c>
      <c r="G18" s="47" t="n">
        <f aca="false">F18*E18</f>
        <v>24</v>
      </c>
      <c r="H18" s="47" t="n">
        <v>5.3</v>
      </c>
      <c r="I18" s="47" t="n">
        <f aca="false">H18*G18</f>
        <v>127.2</v>
      </c>
      <c r="J18" s="47" t="n">
        <f aca="false">VLOOKUP(D18,приход!$D$3:$E$117,2,0)</f>
        <v>4</v>
      </c>
      <c r="K18" s="47" t="s">
        <v>138</v>
      </c>
    </row>
    <row r="19" customFormat="false" ht="13.8" hidden="false" customHeight="false" outlineLevel="0" collapsed="false">
      <c r="A19" s="47" t="n">
        <v>20</v>
      </c>
      <c r="B19" s="48" t="n">
        <v>40916</v>
      </c>
      <c r="C19" s="47" t="n">
        <v>5</v>
      </c>
      <c r="D19" s="47" t="s">
        <v>45</v>
      </c>
      <c r="E19" s="47" t="n">
        <f aca="false">VLOOKUP(D19,приход!$T$3:$U$117,2,0)</f>
        <v>24</v>
      </c>
      <c r="F19" s="47" t="n">
        <v>1</v>
      </c>
      <c r="G19" s="47" t="n">
        <f aca="false">F19*E19</f>
        <v>24</v>
      </c>
      <c r="H19" s="47" t="n">
        <v>5.3</v>
      </c>
      <c r="I19" s="47" t="n">
        <f aca="false">H19*G19</f>
        <v>127.2</v>
      </c>
      <c r="J19" s="47" t="n">
        <f aca="false">VLOOKUP(D19,приход!$D$3:$E$117,2,0)</f>
        <v>4</v>
      </c>
      <c r="K19" s="47" t="s">
        <v>139</v>
      </c>
    </row>
    <row r="20" customFormat="false" ht="13.8" hidden="false" customHeight="false" outlineLevel="0" collapsed="false">
      <c r="A20" s="47" t="n">
        <v>25</v>
      </c>
      <c r="B20" s="48" t="n">
        <v>40916</v>
      </c>
      <c r="C20" s="47" t="n">
        <v>6</v>
      </c>
      <c r="D20" s="47" t="s">
        <v>45</v>
      </c>
      <c r="E20" s="47" t="n">
        <f aca="false">VLOOKUP(D20,приход!$T$3:$U$117,2,0)</f>
        <v>24</v>
      </c>
      <c r="F20" s="47" t="n">
        <v>2</v>
      </c>
      <c r="G20" s="47" t="n">
        <f aca="false">F20*E20</f>
        <v>48</v>
      </c>
      <c r="H20" s="47" t="n">
        <v>5.3</v>
      </c>
      <c r="I20" s="47" t="n">
        <f aca="false">H20*G20</f>
        <v>254.4</v>
      </c>
      <c r="J20" s="47" t="n">
        <f aca="false">VLOOKUP(D20,приход!$D$3:$E$117,2,0)</f>
        <v>4</v>
      </c>
      <c r="K20" s="47" t="s">
        <v>140</v>
      </c>
    </row>
    <row r="21" customFormat="false" ht="13.8" hidden="false" customHeight="false" outlineLevel="0" collapsed="false">
      <c r="A21" s="47" t="n">
        <v>30</v>
      </c>
      <c r="B21" s="48" t="n">
        <v>40916</v>
      </c>
      <c r="C21" s="47" t="n">
        <v>7</v>
      </c>
      <c r="D21" s="47" t="s">
        <v>45</v>
      </c>
      <c r="E21" s="47" t="n">
        <f aca="false">VLOOKUP(D21,приход!$T$3:$U$117,2,0)</f>
        <v>24</v>
      </c>
      <c r="F21" s="47" t="n">
        <v>5</v>
      </c>
      <c r="G21" s="47" t="n">
        <f aca="false">F21*E21</f>
        <v>120</v>
      </c>
      <c r="H21" s="47" t="n">
        <v>5.3</v>
      </c>
      <c r="I21" s="47" t="n">
        <f aca="false">H21*G21</f>
        <v>636</v>
      </c>
      <c r="J21" s="47" t="n">
        <f aca="false">VLOOKUP(D21,приход!$D$3:$E$117,2,0)</f>
        <v>4</v>
      </c>
      <c r="K21" s="47" t="s">
        <v>141</v>
      </c>
    </row>
    <row r="22" customFormat="false" ht="13.8" hidden="false" customHeight="false" outlineLevel="0" collapsed="false">
      <c r="A22" s="47" t="n">
        <v>41</v>
      </c>
      <c r="B22" s="48" t="n">
        <v>40917</v>
      </c>
      <c r="C22" s="47" t="n">
        <v>10</v>
      </c>
      <c r="D22" s="47" t="s">
        <v>45</v>
      </c>
      <c r="E22" s="47" t="n">
        <f aca="false">VLOOKUP(D22,приход!$T$3:$U$117,2,0)</f>
        <v>24</v>
      </c>
      <c r="F22" s="47" t="n">
        <v>5</v>
      </c>
      <c r="G22" s="47" t="n">
        <f aca="false">F22*E22</f>
        <v>120</v>
      </c>
      <c r="H22" s="47" t="n">
        <v>5.3</v>
      </c>
      <c r="I22" s="47" t="n">
        <f aca="false">H22*G22</f>
        <v>636</v>
      </c>
      <c r="J22" s="47" t="n">
        <f aca="false">VLOOKUP(D22,приход!$D$3:$E$117,2,0)</f>
        <v>4</v>
      </c>
      <c r="K22" s="47" t="s">
        <v>142</v>
      </c>
    </row>
    <row r="23" customFormat="false" ht="13.8" hidden="false" customHeight="false" outlineLevel="0" collapsed="false">
      <c r="A23" s="47" t="n">
        <v>47</v>
      </c>
      <c r="B23" s="48" t="n">
        <v>40917</v>
      </c>
      <c r="C23" s="47" t="n">
        <v>11</v>
      </c>
      <c r="D23" s="47" t="s">
        <v>45</v>
      </c>
      <c r="E23" s="47" t="n">
        <f aca="false">VLOOKUP(D23,приход!$T$3:$U$117,2,0)</f>
        <v>24</v>
      </c>
      <c r="F23" s="47" t="n">
        <v>2</v>
      </c>
      <c r="G23" s="47" t="n">
        <f aca="false">F23*E23</f>
        <v>48</v>
      </c>
      <c r="H23" s="47" t="n">
        <v>5.3</v>
      </c>
      <c r="I23" s="47" t="n">
        <f aca="false">H23*G23</f>
        <v>254.4</v>
      </c>
      <c r="J23" s="47" t="n">
        <f aca="false">VLOOKUP(D23,приход!$D$3:$E$117,2,0)</f>
        <v>4</v>
      </c>
      <c r="K23" s="47" t="s">
        <v>140</v>
      </c>
    </row>
    <row r="24" customFormat="false" ht="13.8" hidden="false" customHeight="false" outlineLevel="0" collapsed="false">
      <c r="A24" s="47" t="n">
        <v>9</v>
      </c>
      <c r="B24" s="48" t="n">
        <v>40914</v>
      </c>
      <c r="C24" s="47" t="n">
        <v>2</v>
      </c>
      <c r="D24" s="47" t="s">
        <v>51</v>
      </c>
      <c r="E24" s="47" t="n">
        <f aca="false">VLOOKUP(D24,приход!$T$3:$U$117,2,0)</f>
        <v>24</v>
      </c>
      <c r="F24" s="47" t="n">
        <v>1</v>
      </c>
      <c r="G24" s="47" t="n">
        <f aca="false">F24*E24</f>
        <v>24</v>
      </c>
      <c r="H24" s="47" t="n">
        <v>5.3</v>
      </c>
      <c r="I24" s="47" t="n">
        <f aca="false">H24*G24</f>
        <v>127.2</v>
      </c>
      <c r="J24" s="47" t="n">
        <f aca="false">VLOOKUP(D24,приход!$D$3:$E$117,2,0)</f>
        <v>4</v>
      </c>
      <c r="K24" s="47" t="s">
        <v>137</v>
      </c>
    </row>
    <row r="25" customFormat="false" ht="13.8" hidden="false" customHeight="false" outlineLevel="0" collapsed="false">
      <c r="A25" s="47" t="n">
        <v>15</v>
      </c>
      <c r="B25" s="48" t="n">
        <v>40914</v>
      </c>
      <c r="C25" s="47" t="n">
        <v>4</v>
      </c>
      <c r="D25" s="47" t="s">
        <v>51</v>
      </c>
      <c r="E25" s="47" t="n">
        <f aca="false">VLOOKUP(D25,приход!$T$3:$U$117,2,0)</f>
        <v>24</v>
      </c>
      <c r="F25" s="47" t="n">
        <v>1</v>
      </c>
      <c r="G25" s="47" t="n">
        <f aca="false">F25*E25</f>
        <v>24</v>
      </c>
      <c r="H25" s="47" t="n">
        <v>5.3</v>
      </c>
      <c r="I25" s="47" t="n">
        <f aca="false">H25*G25</f>
        <v>127.2</v>
      </c>
      <c r="J25" s="47" t="n">
        <f aca="false">VLOOKUP(D25,приход!$D$3:$E$117,2,0)</f>
        <v>4</v>
      </c>
      <c r="K25" s="47" t="s">
        <v>138</v>
      </c>
    </row>
    <row r="26" customFormat="false" ht="13.8" hidden="false" customHeight="false" outlineLevel="0" collapsed="false">
      <c r="A26" s="47" t="n">
        <v>31</v>
      </c>
      <c r="B26" s="48" t="n">
        <v>40916</v>
      </c>
      <c r="C26" s="47" t="n">
        <v>7</v>
      </c>
      <c r="D26" s="47" t="s">
        <v>51</v>
      </c>
      <c r="E26" s="47" t="n">
        <f aca="false">VLOOKUP(D26,приход!$T$3:$U$117,2,0)</f>
        <v>24</v>
      </c>
      <c r="F26" s="47" t="n">
        <v>5</v>
      </c>
      <c r="G26" s="47" t="n">
        <f aca="false">F26*E26</f>
        <v>120</v>
      </c>
      <c r="H26" s="47" t="n">
        <v>5.3</v>
      </c>
      <c r="I26" s="47" t="n">
        <f aca="false">H26*G26</f>
        <v>636</v>
      </c>
      <c r="J26" s="47" t="n">
        <f aca="false">VLOOKUP(D26,приход!$D$3:$E$117,2,0)</f>
        <v>4</v>
      </c>
      <c r="K26" s="47" t="s">
        <v>141</v>
      </c>
    </row>
    <row r="27" customFormat="false" ht="13.8" hidden="false" customHeight="false" outlineLevel="0" collapsed="false">
      <c r="A27" s="47" t="n">
        <v>42</v>
      </c>
      <c r="B27" s="48" t="n">
        <v>40917</v>
      </c>
      <c r="C27" s="47" t="n">
        <v>10</v>
      </c>
      <c r="D27" s="47" t="s">
        <v>51</v>
      </c>
      <c r="E27" s="47" t="n">
        <f aca="false">VLOOKUP(D27,приход!$T$3:$U$117,2,0)</f>
        <v>24</v>
      </c>
      <c r="F27" s="47" t="n">
        <v>5</v>
      </c>
      <c r="G27" s="47" t="n">
        <f aca="false">F27*E27</f>
        <v>120</v>
      </c>
      <c r="H27" s="47" t="n">
        <v>5.3</v>
      </c>
      <c r="I27" s="47" t="n">
        <f aca="false">H27*G27</f>
        <v>636</v>
      </c>
      <c r="J27" s="47" t="n">
        <f aca="false">VLOOKUP(D27,приход!$D$3:$E$117,2,0)</f>
        <v>4</v>
      </c>
      <c r="K27" s="47" t="s">
        <v>142</v>
      </c>
    </row>
    <row r="28" customFormat="false" ht="13.8" hidden="false" customHeight="false" outlineLevel="0" collapsed="false">
      <c r="A28" s="47" t="n">
        <v>48</v>
      </c>
      <c r="B28" s="48" t="n">
        <v>40917</v>
      </c>
      <c r="C28" s="47" t="n">
        <v>11</v>
      </c>
      <c r="D28" s="47" t="s">
        <v>51</v>
      </c>
      <c r="E28" s="47" t="n">
        <f aca="false">VLOOKUP(D28,приход!$T$3:$U$117,2,0)</f>
        <v>24</v>
      </c>
      <c r="F28" s="47" t="n">
        <v>1</v>
      </c>
      <c r="G28" s="47" t="n">
        <f aca="false">F28*E28</f>
        <v>24</v>
      </c>
      <c r="H28" s="47" t="n">
        <v>5.3</v>
      </c>
      <c r="I28" s="47" t="n">
        <f aca="false">H28*G28</f>
        <v>127.2</v>
      </c>
      <c r="J28" s="47" t="n">
        <f aca="false">VLOOKUP(D28,приход!$D$3:$E$117,2,0)</f>
        <v>4</v>
      </c>
      <c r="K28" s="47" t="s">
        <v>140</v>
      </c>
    </row>
    <row r="29" customFormat="false" ht="13.8" hidden="false" customHeight="false" outlineLevel="0" collapsed="false">
      <c r="A29" s="47" t="n">
        <v>1</v>
      </c>
      <c r="B29" s="48" t="n">
        <v>40914</v>
      </c>
      <c r="C29" s="47" t="n">
        <v>1</v>
      </c>
      <c r="D29" s="47" t="s">
        <v>52</v>
      </c>
      <c r="E29" s="47" t="n">
        <f aca="false">VLOOKUP(D29,приход!$T$3:$U$117,2,0)</f>
        <v>20</v>
      </c>
      <c r="F29" s="47" t="n">
        <v>2</v>
      </c>
      <c r="G29" s="47" t="n">
        <f aca="false">F29*E29</f>
        <v>40</v>
      </c>
      <c r="H29" s="47" t="n">
        <v>10.5</v>
      </c>
      <c r="I29" s="47" t="n">
        <f aca="false">H29*G29</f>
        <v>420</v>
      </c>
      <c r="J29" s="47" t="n">
        <f aca="false">VLOOKUP(D29,приход!$D$3:$E$117,2,0)</f>
        <v>4</v>
      </c>
      <c r="K29" s="47" t="s">
        <v>136</v>
      </c>
    </row>
    <row r="30" customFormat="false" ht="13.8" hidden="false" customHeight="false" outlineLevel="0" collapsed="false">
      <c r="A30" s="47" t="n">
        <v>6</v>
      </c>
      <c r="B30" s="48" t="n">
        <v>40914</v>
      </c>
      <c r="C30" s="47" t="n">
        <v>2</v>
      </c>
      <c r="D30" s="47" t="s">
        <v>53</v>
      </c>
      <c r="E30" s="47" t="n">
        <f aca="false">VLOOKUP(D30,приход!$T$3:$U$117,2,0)</f>
        <v>20</v>
      </c>
      <c r="F30" s="47" t="n">
        <v>1</v>
      </c>
      <c r="G30" s="47" t="n">
        <f aca="false">F30*E30</f>
        <v>20</v>
      </c>
      <c r="H30" s="47" t="n">
        <v>10.5</v>
      </c>
      <c r="I30" s="47" t="n">
        <f aca="false">H30*G30</f>
        <v>210</v>
      </c>
      <c r="J30" s="47" t="n">
        <f aca="false">VLOOKUP(D30,приход!$D$3:$E$117,2,0)</f>
        <v>4</v>
      </c>
      <c r="K30" s="47" t="s">
        <v>137</v>
      </c>
    </row>
    <row r="31" customFormat="false" ht="13.8" hidden="false" customHeight="false" outlineLevel="0" collapsed="false">
      <c r="A31" s="47" t="n">
        <v>34</v>
      </c>
      <c r="B31" s="48" t="n">
        <v>40917</v>
      </c>
      <c r="C31" s="47" t="n">
        <v>8</v>
      </c>
      <c r="D31" s="47" t="s">
        <v>60</v>
      </c>
      <c r="E31" s="47" t="n">
        <f aca="false">VLOOKUP(D31,приход!$T$3:$U$117,2,0)</f>
        <v>1</v>
      </c>
      <c r="F31" s="47" t="n">
        <v>400</v>
      </c>
      <c r="G31" s="47" t="n">
        <f aca="false">F31*E31</f>
        <v>400</v>
      </c>
      <c r="H31" s="47" t="n">
        <v>1.1</v>
      </c>
      <c r="I31" s="47" t="n">
        <f aca="false">H31*G31</f>
        <v>440</v>
      </c>
      <c r="J31" s="47" t="n">
        <f aca="false">VLOOKUP(D31,приход!$D$3:$E$117,2,0)</f>
        <v>5</v>
      </c>
      <c r="K31" s="47" t="s">
        <v>143</v>
      </c>
    </row>
    <row r="32" customFormat="false" ht="13.8" hidden="false" customHeight="false" outlineLevel="0" collapsed="false">
      <c r="A32" s="47" t="n">
        <v>50</v>
      </c>
      <c r="B32" s="48" t="n">
        <v>40917</v>
      </c>
      <c r="C32" s="47" t="n">
        <v>12</v>
      </c>
      <c r="D32" s="47" t="s">
        <v>62</v>
      </c>
      <c r="E32" s="47" t="n">
        <f aca="false">VLOOKUP(D32,приход!$T$3:$U$117,2,0)</f>
        <v>1</v>
      </c>
      <c r="F32" s="47" t="n">
        <v>12</v>
      </c>
      <c r="G32" s="47" t="n">
        <f aca="false">F32*E32</f>
        <v>12</v>
      </c>
      <c r="H32" s="47" t="n">
        <v>11.5</v>
      </c>
      <c r="I32" s="47" t="n">
        <f aca="false">H32*G32</f>
        <v>138</v>
      </c>
      <c r="J32" s="47" t="n">
        <f aca="false">VLOOKUP(D32,приход!$D$3:$E$117,2,0)</f>
        <v>1</v>
      </c>
      <c r="K32" s="47" t="s">
        <v>144</v>
      </c>
    </row>
    <row r="33" customFormat="false" ht="13.8" hidden="false" customHeight="false" outlineLevel="0" collapsed="false">
      <c r="A33" s="47" t="n">
        <v>51</v>
      </c>
      <c r="B33" s="48" t="n">
        <v>40917</v>
      </c>
      <c r="C33" s="47" t="n">
        <v>12</v>
      </c>
      <c r="D33" s="47" t="s">
        <v>63</v>
      </c>
      <c r="E33" s="47" t="n">
        <f aca="false">VLOOKUP(D33,приход!$T$3:$U$117,2,0)</f>
        <v>1</v>
      </c>
      <c r="F33" s="47" t="n">
        <v>20</v>
      </c>
      <c r="G33" s="47" t="n">
        <f aca="false">F33*E33</f>
        <v>20</v>
      </c>
      <c r="H33" s="47" t="n">
        <v>12.5</v>
      </c>
      <c r="I33" s="47" t="n">
        <f aca="false">H33*G33</f>
        <v>250</v>
      </c>
      <c r="J33" s="47" t="n">
        <f aca="false">VLOOKUP(D33,приход!$D$3:$E$117,2,0)</f>
        <v>1</v>
      </c>
      <c r="K33" s="47" t="s">
        <v>144</v>
      </c>
    </row>
    <row r="34" customFormat="false" ht="13.8" hidden="false" customHeight="false" outlineLevel="0" collapsed="false">
      <c r="A34" s="47" t="n">
        <v>55</v>
      </c>
      <c r="B34" s="48" t="n">
        <v>40921</v>
      </c>
      <c r="C34" s="47" t="n">
        <v>13</v>
      </c>
      <c r="D34" s="47" t="s">
        <v>63</v>
      </c>
      <c r="E34" s="47" t="n">
        <f aca="false">VLOOKUP(D34,приход!$T$3:$U$117,2,0)</f>
        <v>1</v>
      </c>
      <c r="F34" s="47" t="n">
        <v>120</v>
      </c>
      <c r="G34" s="47" t="n">
        <f aca="false">F34*E34</f>
        <v>120</v>
      </c>
      <c r="H34" s="47" t="n">
        <v>12.5</v>
      </c>
      <c r="I34" s="47" t="n">
        <f aca="false">H34*G34</f>
        <v>1500</v>
      </c>
      <c r="J34" s="47" t="n">
        <f aca="false">VLOOKUP(D34,приход!$D$3:$E$117,2,0)</f>
        <v>1</v>
      </c>
      <c r="K34" s="47" t="s">
        <v>135</v>
      </c>
    </row>
    <row r="35" customFormat="false" ht="13.8" hidden="false" customHeight="false" outlineLevel="0" collapsed="false">
      <c r="A35" s="47" t="n">
        <v>43</v>
      </c>
      <c r="B35" s="48" t="n">
        <v>40917</v>
      </c>
      <c r="C35" s="47" t="n">
        <v>10</v>
      </c>
      <c r="D35" s="47" t="s">
        <v>66</v>
      </c>
      <c r="E35" s="47" t="n">
        <f aca="false">VLOOKUP(D35,приход!$T$3:$U$117,2,0)</f>
        <v>24</v>
      </c>
      <c r="F35" s="47" t="n">
        <v>4</v>
      </c>
      <c r="G35" s="47" t="n">
        <f aca="false">F35*E35</f>
        <v>96</v>
      </c>
      <c r="H35" s="47" t="n">
        <v>5.9</v>
      </c>
      <c r="I35" s="47" t="n">
        <f aca="false">H35*G35</f>
        <v>566.4</v>
      </c>
      <c r="J35" s="47" t="n">
        <f aca="false">VLOOKUP(D35,приход!$D$3:$E$117,2,0)</f>
        <v>4</v>
      </c>
      <c r="K35" s="47" t="s">
        <v>142</v>
      </c>
    </row>
    <row r="36" customFormat="false" ht="13.8" hidden="false" customHeight="false" outlineLevel="0" collapsed="false">
      <c r="A36" s="47" t="n">
        <v>10</v>
      </c>
      <c r="B36" s="48" t="n">
        <v>40914</v>
      </c>
      <c r="C36" s="47" t="n">
        <v>2</v>
      </c>
      <c r="D36" s="47" t="s">
        <v>74</v>
      </c>
      <c r="E36" s="47" t="n">
        <f aca="false">VLOOKUP(D36,приход!$T$3:$U$117,2,0)</f>
        <v>24</v>
      </c>
      <c r="F36" s="47" t="n">
        <v>1</v>
      </c>
      <c r="G36" s="47" t="n">
        <f aca="false">F36*E36</f>
        <v>24</v>
      </c>
      <c r="H36" s="47" t="n">
        <v>6.2</v>
      </c>
      <c r="I36" s="47" t="n">
        <f aca="false">H36*G36</f>
        <v>148.8</v>
      </c>
      <c r="J36" s="47" t="n">
        <f aca="false">VLOOKUP(D36,приход!$D$3:$E$117,2,0)</f>
        <v>4</v>
      </c>
      <c r="K36" s="47" t="s">
        <v>137</v>
      </c>
    </row>
    <row r="37" customFormat="false" ht="13.8" hidden="false" customHeight="false" outlineLevel="0" collapsed="false">
      <c r="A37" s="47" t="n">
        <v>16</v>
      </c>
      <c r="B37" s="48" t="n">
        <v>40914</v>
      </c>
      <c r="C37" s="47" t="n">
        <v>4</v>
      </c>
      <c r="D37" s="47" t="s">
        <v>74</v>
      </c>
      <c r="E37" s="47" t="n">
        <f aca="false">VLOOKUP(D37,приход!$T$3:$U$117,2,0)</f>
        <v>24</v>
      </c>
      <c r="F37" s="47" t="n">
        <v>1</v>
      </c>
      <c r="G37" s="47" t="n">
        <f aca="false">F37*E37</f>
        <v>24</v>
      </c>
      <c r="H37" s="47" t="n">
        <v>6.2</v>
      </c>
      <c r="I37" s="47" t="n">
        <f aca="false">H37*G37</f>
        <v>148.8</v>
      </c>
      <c r="J37" s="47" t="n">
        <f aca="false">VLOOKUP(D37,приход!$D$3:$E$117,2,0)</f>
        <v>4</v>
      </c>
      <c r="K37" s="47" t="s">
        <v>138</v>
      </c>
    </row>
    <row r="38" customFormat="false" ht="13.8" hidden="false" customHeight="false" outlineLevel="0" collapsed="false">
      <c r="A38" s="47" t="n">
        <v>21</v>
      </c>
      <c r="B38" s="48" t="n">
        <v>40916</v>
      </c>
      <c r="C38" s="47" t="n">
        <v>5</v>
      </c>
      <c r="D38" s="47" t="s">
        <v>74</v>
      </c>
      <c r="E38" s="47" t="n">
        <f aca="false">VLOOKUP(D38,приход!$T$3:$U$117,2,0)</f>
        <v>24</v>
      </c>
      <c r="F38" s="47" t="n">
        <v>1</v>
      </c>
      <c r="G38" s="47" t="n">
        <f aca="false">F38*E38</f>
        <v>24</v>
      </c>
      <c r="H38" s="47" t="n">
        <v>6.2</v>
      </c>
      <c r="I38" s="47" t="n">
        <f aca="false">H38*G38</f>
        <v>148.8</v>
      </c>
      <c r="J38" s="47" t="n">
        <f aca="false">VLOOKUP(D38,приход!$D$3:$E$117,2,0)</f>
        <v>4</v>
      </c>
      <c r="K38" s="47" t="s">
        <v>139</v>
      </c>
    </row>
    <row r="39" customFormat="false" ht="13.8" hidden="false" customHeight="false" outlineLevel="0" collapsed="false">
      <c r="A39" s="47" t="n">
        <v>4</v>
      </c>
      <c r="B39" s="48" t="n">
        <v>40914</v>
      </c>
      <c r="C39" s="47" t="n">
        <v>1</v>
      </c>
      <c r="D39" s="47" t="s">
        <v>77</v>
      </c>
      <c r="E39" s="47" t="n">
        <f aca="false">VLOOKUP(D39,приход!$T$3:$U$117,2,0)</f>
        <v>24</v>
      </c>
      <c r="F39" s="47" t="n">
        <v>10</v>
      </c>
      <c r="G39" s="47" t="n">
        <f aca="false">F39*E39</f>
        <v>240</v>
      </c>
      <c r="H39" s="47" t="n">
        <v>4.2</v>
      </c>
      <c r="I39" s="47" t="n">
        <f aca="false">H39*G39</f>
        <v>1008</v>
      </c>
      <c r="J39" s="47" t="n">
        <f aca="false">VLOOKUP(D39,приход!$D$3:$E$117,2,0)</f>
        <v>4</v>
      </c>
      <c r="K39" s="47" t="s">
        <v>136</v>
      </c>
    </row>
    <row r="40" customFormat="false" ht="13.8" hidden="false" customHeight="false" outlineLevel="0" collapsed="false">
      <c r="A40" s="47" t="n">
        <v>17</v>
      </c>
      <c r="B40" s="48" t="n">
        <v>40914</v>
      </c>
      <c r="C40" s="47" t="n">
        <v>4</v>
      </c>
      <c r="D40" s="47" t="s">
        <v>77</v>
      </c>
      <c r="E40" s="47" t="n">
        <f aca="false">VLOOKUP(D40,приход!$T$3:$U$117,2,0)</f>
        <v>24</v>
      </c>
      <c r="F40" s="47" t="n">
        <v>1</v>
      </c>
      <c r="G40" s="47" t="n">
        <f aca="false">F40*E40</f>
        <v>24</v>
      </c>
      <c r="H40" s="47" t="n">
        <v>4.2</v>
      </c>
      <c r="I40" s="47" t="n">
        <f aca="false">H40*G40</f>
        <v>100.8</v>
      </c>
      <c r="J40" s="47" t="n">
        <f aca="false">VLOOKUP(D40,приход!$D$3:$E$117,2,0)</f>
        <v>4</v>
      </c>
      <c r="K40" s="47" t="s">
        <v>138</v>
      </c>
    </row>
    <row r="41" customFormat="false" ht="13.8" hidden="false" customHeight="false" outlineLevel="0" collapsed="false">
      <c r="A41" s="47" t="n">
        <v>22</v>
      </c>
      <c r="B41" s="48" t="n">
        <v>40916</v>
      </c>
      <c r="C41" s="47" t="n">
        <v>5</v>
      </c>
      <c r="D41" s="47" t="s">
        <v>77</v>
      </c>
      <c r="E41" s="47" t="n">
        <f aca="false">VLOOKUP(D41,приход!$T$3:$U$117,2,0)</f>
        <v>24</v>
      </c>
      <c r="F41" s="47" t="n">
        <v>1</v>
      </c>
      <c r="G41" s="47" t="n">
        <f aca="false">F41*E41</f>
        <v>24</v>
      </c>
      <c r="H41" s="47" t="n">
        <v>4.2</v>
      </c>
      <c r="I41" s="47" t="n">
        <f aca="false">H41*G41</f>
        <v>100.8</v>
      </c>
      <c r="J41" s="47" t="n">
        <f aca="false">VLOOKUP(D41,приход!$D$3:$E$117,2,0)</f>
        <v>4</v>
      </c>
      <c r="K41" s="47" t="s">
        <v>139</v>
      </c>
    </row>
    <row r="42" customFormat="false" ht="13.8" hidden="false" customHeight="false" outlineLevel="0" collapsed="false">
      <c r="A42" s="47" t="n">
        <v>26</v>
      </c>
      <c r="B42" s="48" t="n">
        <v>40916</v>
      </c>
      <c r="C42" s="47" t="n">
        <v>6</v>
      </c>
      <c r="D42" s="47" t="s">
        <v>77</v>
      </c>
      <c r="E42" s="47" t="n">
        <f aca="false">VLOOKUP(D42,приход!$T$3:$U$117,2,0)</f>
        <v>24</v>
      </c>
      <c r="F42" s="47" t="n">
        <v>1</v>
      </c>
      <c r="G42" s="47" t="n">
        <f aca="false">F42*E42</f>
        <v>24</v>
      </c>
      <c r="H42" s="47" t="n">
        <v>4.2</v>
      </c>
      <c r="I42" s="47" t="n">
        <f aca="false">H42*G42</f>
        <v>100.8</v>
      </c>
      <c r="J42" s="47" t="n">
        <f aca="false">VLOOKUP(D42,приход!$D$3:$E$117,2,0)</f>
        <v>4</v>
      </c>
      <c r="K42" s="47" t="s">
        <v>140</v>
      </c>
    </row>
    <row r="43" customFormat="false" ht="13.8" hidden="false" customHeight="false" outlineLevel="0" collapsed="false">
      <c r="A43" s="47" t="n">
        <v>38</v>
      </c>
      <c r="B43" s="48" t="n">
        <v>40917</v>
      </c>
      <c r="C43" s="47" t="n">
        <v>9</v>
      </c>
      <c r="D43" s="47" t="s">
        <v>77</v>
      </c>
      <c r="E43" s="47" t="n">
        <f aca="false">VLOOKUP(D43,приход!$T$3:$U$117,2,0)</f>
        <v>24</v>
      </c>
      <c r="F43" s="47" t="n">
        <v>1</v>
      </c>
      <c r="G43" s="47" t="n">
        <f aca="false">F43*E43</f>
        <v>24</v>
      </c>
      <c r="H43" s="47" t="n">
        <v>4.2</v>
      </c>
      <c r="I43" s="47" t="n">
        <f aca="false">H43*G43</f>
        <v>100.8</v>
      </c>
      <c r="J43" s="47" t="n">
        <f aca="false">VLOOKUP(D43,приход!$D$3:$E$117,2,0)</f>
        <v>4</v>
      </c>
      <c r="K43" s="47" t="s">
        <v>134</v>
      </c>
    </row>
    <row r="44" customFormat="false" ht="13.8" hidden="false" customHeight="false" outlineLevel="0" collapsed="false">
      <c r="A44" s="47" t="n">
        <v>60</v>
      </c>
      <c r="B44" s="48" t="n">
        <v>40921</v>
      </c>
      <c r="C44" s="47" t="n">
        <v>13</v>
      </c>
      <c r="D44" s="47" t="s">
        <v>77</v>
      </c>
      <c r="E44" s="47" t="n">
        <f aca="false">VLOOKUP(D44,приход!$T$3:$U$117,2,0)</f>
        <v>24</v>
      </c>
      <c r="F44" s="47" t="n">
        <v>6</v>
      </c>
      <c r="G44" s="47" t="n">
        <f aca="false">F44*E44</f>
        <v>144</v>
      </c>
      <c r="H44" s="47" t="n">
        <v>4.2</v>
      </c>
      <c r="I44" s="47" t="n">
        <f aca="false">H44*G44</f>
        <v>604.8</v>
      </c>
      <c r="J44" s="47" t="n">
        <f aca="false">VLOOKUP(D44,приход!$D$3:$E$117,2,0)</f>
        <v>4</v>
      </c>
      <c r="K44" s="47" t="s">
        <v>135</v>
      </c>
    </row>
    <row r="45" customFormat="false" ht="13.8" hidden="false" customHeight="false" outlineLevel="0" collapsed="false">
      <c r="A45" s="47" t="n">
        <v>39</v>
      </c>
      <c r="B45" s="48" t="n">
        <v>40917</v>
      </c>
      <c r="C45" s="47" t="n">
        <v>9</v>
      </c>
      <c r="D45" s="47" t="s">
        <v>78</v>
      </c>
      <c r="E45" s="47" t="n">
        <f aca="false">VLOOKUP(D45,приход!$T$3:$U$117,2,0)</f>
        <v>24</v>
      </c>
      <c r="F45" s="47" t="n">
        <v>1</v>
      </c>
      <c r="G45" s="47" t="n">
        <f aca="false">F45*E45</f>
        <v>24</v>
      </c>
      <c r="H45" s="47" t="n">
        <v>4.2</v>
      </c>
      <c r="I45" s="47" t="n">
        <f aca="false">H45*G45</f>
        <v>100.8</v>
      </c>
      <c r="J45" s="47" t="n">
        <f aca="false">VLOOKUP(D45,приход!$D$3:$E$117,2,0)</f>
        <v>4</v>
      </c>
      <c r="K45" s="47" t="s">
        <v>134</v>
      </c>
    </row>
    <row r="46" customFormat="false" ht="13.8" hidden="false" customHeight="false" outlineLevel="0" collapsed="false">
      <c r="A46" s="47" t="n">
        <v>52</v>
      </c>
      <c r="B46" s="48" t="n">
        <v>40917</v>
      </c>
      <c r="C46" s="47" t="n">
        <v>12</v>
      </c>
      <c r="D46" s="47" t="s">
        <v>82</v>
      </c>
      <c r="E46" s="47" t="n">
        <f aca="false">VLOOKUP(D46,приход!$T$3:$U$117,2,0)</f>
        <v>1</v>
      </c>
      <c r="F46" s="47" t="n">
        <v>5</v>
      </c>
      <c r="G46" s="47" t="n">
        <f aca="false">F46*E46</f>
        <v>5</v>
      </c>
      <c r="H46" s="47" t="n">
        <v>10.3</v>
      </c>
      <c r="I46" s="47" t="n">
        <f aca="false">H46*G46</f>
        <v>51.5</v>
      </c>
      <c r="J46" s="47" t="n">
        <f aca="false">VLOOKUP(D46,приход!$D$3:$E$117,2,0)</f>
        <v>1</v>
      </c>
      <c r="K46" s="47" t="s">
        <v>144</v>
      </c>
    </row>
    <row r="47" customFormat="false" ht="13.8" hidden="false" customHeight="false" outlineLevel="0" collapsed="false">
      <c r="A47" s="47" t="n">
        <v>64</v>
      </c>
      <c r="B47" s="48" t="n">
        <v>40922</v>
      </c>
      <c r="C47" s="47" t="n">
        <v>14</v>
      </c>
      <c r="D47" s="47" t="s">
        <v>84</v>
      </c>
      <c r="E47" s="47" t="n">
        <f aca="false">VLOOKUP(D47,приход!$T$3:$U$117,2,0)</f>
        <v>6</v>
      </c>
      <c r="F47" s="47" t="n">
        <v>1</v>
      </c>
      <c r="G47" s="47" t="n">
        <f aca="false">F47*E47</f>
        <v>6</v>
      </c>
      <c r="H47" s="47" t="n">
        <v>20.8</v>
      </c>
      <c r="I47" s="47" t="n">
        <f aca="false">H47*G47</f>
        <v>124.8</v>
      </c>
      <c r="J47" s="47" t="n">
        <f aca="false">VLOOKUP(D47,приход!$D$3:$E$117,2,0)</f>
        <v>4</v>
      </c>
      <c r="K47" s="47" t="s">
        <v>145</v>
      </c>
    </row>
    <row r="48" customFormat="false" ht="13.8" hidden="false" customHeight="false" outlineLevel="0" collapsed="false">
      <c r="A48" s="47" t="n">
        <v>53</v>
      </c>
      <c r="B48" s="48" t="n">
        <v>40917</v>
      </c>
      <c r="C48" s="47" t="n">
        <v>12</v>
      </c>
      <c r="D48" s="47" t="s">
        <v>89</v>
      </c>
      <c r="E48" s="47" t="n">
        <f aca="false">VLOOKUP(D48,приход!$T$3:$U$117,2,0)</f>
        <v>1</v>
      </c>
      <c r="F48" s="47" t="n">
        <v>12</v>
      </c>
      <c r="G48" s="47" t="n">
        <f aca="false">F48*E48</f>
        <v>12</v>
      </c>
      <c r="H48" s="47" t="n">
        <v>17.7</v>
      </c>
      <c r="I48" s="47" t="n">
        <f aca="false">H48*G48</f>
        <v>212.4</v>
      </c>
      <c r="J48" s="47" t="n">
        <f aca="false">VLOOKUP(D48,приход!$D$3:$E$117,2,0)</f>
        <v>1</v>
      </c>
      <c r="K48" s="47" t="s">
        <v>144</v>
      </c>
    </row>
    <row r="49" customFormat="false" ht="13.8" hidden="false" customHeight="false" outlineLevel="0" collapsed="false">
      <c r="A49" s="47" t="n">
        <v>62</v>
      </c>
      <c r="B49" s="48" t="n">
        <v>40922</v>
      </c>
      <c r="C49" s="47" t="n">
        <v>14</v>
      </c>
      <c r="D49" s="47" t="s">
        <v>106</v>
      </c>
      <c r="E49" s="47" t="n">
        <f aca="false">VLOOKUP(D49,приход!$T$3:$U$117,2,0)</f>
        <v>1</v>
      </c>
      <c r="F49" s="47" t="n">
        <v>6</v>
      </c>
      <c r="G49" s="47" t="n">
        <f aca="false">F49*E49</f>
        <v>6</v>
      </c>
      <c r="H49" s="47" t="n">
        <v>6.4</v>
      </c>
      <c r="I49" s="47" t="n">
        <f aca="false">H49*G49</f>
        <v>38.4</v>
      </c>
      <c r="J49" s="47" t="n">
        <f aca="false">VLOOKUP(D49,приход!$D$3:$E$117,2,0)</f>
        <v>5</v>
      </c>
      <c r="K49" s="47" t="s">
        <v>145</v>
      </c>
    </row>
    <row r="50" customFormat="false" ht="13.8" hidden="false" customHeight="false" outlineLevel="0" collapsed="false">
      <c r="A50" s="47" t="n">
        <v>63</v>
      </c>
      <c r="B50" s="48" t="n">
        <v>40922</v>
      </c>
      <c r="C50" s="47" t="n">
        <v>14</v>
      </c>
      <c r="D50" s="47" t="s">
        <v>107</v>
      </c>
      <c r="E50" s="47" t="n">
        <f aca="false">VLOOKUP(D50,приход!$T$3:$U$117,2,0)</f>
        <v>24</v>
      </c>
      <c r="F50" s="47" t="n">
        <v>24</v>
      </c>
      <c r="G50" s="47" t="n">
        <f aca="false">F50*E50</f>
        <v>576</v>
      </c>
      <c r="H50" s="47" t="n">
        <v>6.5</v>
      </c>
      <c r="I50" s="47" t="n">
        <f aca="false">H50*G50</f>
        <v>3744</v>
      </c>
      <c r="J50" s="47" t="n">
        <f aca="false">VLOOKUP(D50,приход!$D$3:$E$117,2,0)</f>
        <v>5</v>
      </c>
      <c r="K50" s="47" t="s">
        <v>145</v>
      </c>
    </row>
    <row r="51" customFormat="false" ht="13.8" hidden="false" customHeight="false" outlineLevel="0" collapsed="false">
      <c r="A51" s="47" t="n">
        <v>65</v>
      </c>
      <c r="B51" s="48" t="n">
        <v>40922</v>
      </c>
      <c r="C51" s="47" t="n">
        <v>14</v>
      </c>
      <c r="D51" s="47" t="s">
        <v>108</v>
      </c>
      <c r="E51" s="47" t="n">
        <f aca="false">VLOOKUP(D51,приход!$T$3:$U$117,2,0)</f>
        <v>6</v>
      </c>
      <c r="F51" s="47" t="n">
        <v>1</v>
      </c>
      <c r="G51" s="47" t="n">
        <f aca="false">F51*E51</f>
        <v>6</v>
      </c>
      <c r="H51" s="47" t="n">
        <v>8.7</v>
      </c>
      <c r="I51" s="47" t="n">
        <f aca="false">H51*G51</f>
        <v>52.2</v>
      </c>
      <c r="J51" s="47" t="n">
        <f aca="false">VLOOKUP(D51,приход!$D$3:$E$117,2,0)</f>
        <v>5</v>
      </c>
      <c r="K51" s="47" t="s">
        <v>145</v>
      </c>
    </row>
    <row r="52" customFormat="false" ht="13.8" hidden="false" customHeight="false" outlineLevel="0" collapsed="false">
      <c r="A52" s="47" t="n">
        <v>56</v>
      </c>
      <c r="B52" s="48" t="n">
        <v>40921</v>
      </c>
      <c r="C52" s="47" t="n">
        <v>13</v>
      </c>
      <c r="D52" s="47" t="s">
        <v>111</v>
      </c>
      <c r="E52" s="47" t="n">
        <f aca="false">VLOOKUP(D52,приход!$T$3:$U$117,2,0)</f>
        <v>1</v>
      </c>
      <c r="F52" s="47" t="n">
        <v>72</v>
      </c>
      <c r="G52" s="47" t="n">
        <f aca="false">F52*E52</f>
        <v>72</v>
      </c>
      <c r="H52" s="47" t="n">
        <v>20.5</v>
      </c>
      <c r="I52" s="47" t="n">
        <f aca="false">H52*G52</f>
        <v>1476</v>
      </c>
      <c r="J52" s="47" t="n">
        <f aca="false">VLOOKUP(D52,приход!$D$3:$E$117,2,0)</f>
        <v>1</v>
      </c>
      <c r="K52" s="47" t="s">
        <v>135</v>
      </c>
    </row>
    <row r="53" customFormat="false" ht="13.8" hidden="false" customHeight="false" outlineLevel="0" collapsed="false">
      <c r="A53" s="47" t="n">
        <v>54</v>
      </c>
      <c r="B53" s="48" t="n">
        <v>40917</v>
      </c>
      <c r="C53" s="47" t="n">
        <v>12</v>
      </c>
      <c r="D53" s="47" t="s">
        <v>114</v>
      </c>
      <c r="E53" s="47" t="n">
        <f aca="false">VLOOKUP(D53,приход!$T$3:$U$117,2,0)</f>
        <v>1</v>
      </c>
      <c r="F53" s="47" t="n">
        <v>20</v>
      </c>
      <c r="G53" s="47" t="n">
        <f aca="false">F53*E53</f>
        <v>20</v>
      </c>
      <c r="H53" s="47" t="n">
        <v>12</v>
      </c>
      <c r="I53" s="47" t="n">
        <f aca="false">H53*G53</f>
        <v>240</v>
      </c>
      <c r="J53" s="47" t="n">
        <f aca="false">VLOOKUP(D53,приход!$D$3:$E$117,2,0)</f>
        <v>1</v>
      </c>
      <c r="K53" s="47" t="s">
        <v>144</v>
      </c>
    </row>
    <row r="54" customFormat="false" ht="13.8" hidden="false" customHeight="false" outlineLevel="0" collapsed="false">
      <c r="A54" s="47" t="n">
        <v>5</v>
      </c>
      <c r="B54" s="48" t="n">
        <v>40914</v>
      </c>
      <c r="C54" s="47" t="n">
        <v>1</v>
      </c>
      <c r="D54" s="47" t="s">
        <v>117</v>
      </c>
      <c r="E54" s="47" t="n">
        <f aca="false">VLOOKUP(D54,приход!$T$3:$U$117,2,0)</f>
        <v>24</v>
      </c>
      <c r="F54" s="47" t="n">
        <v>10</v>
      </c>
      <c r="G54" s="47" t="n">
        <f aca="false">F54*E54</f>
        <v>240</v>
      </c>
      <c r="H54" s="47" t="n">
        <v>4.7</v>
      </c>
      <c r="I54" s="47" t="n">
        <f aca="false">H54*G54</f>
        <v>1128</v>
      </c>
      <c r="J54" s="47" t="n">
        <f aca="false">VLOOKUP(D54,приход!$D$3:$E$117,2,0)</f>
        <v>4</v>
      </c>
      <c r="K54" s="47" t="s">
        <v>136</v>
      </c>
    </row>
    <row r="55" customFormat="false" ht="13.8" hidden="false" customHeight="false" outlineLevel="0" collapsed="false">
      <c r="A55" s="47" t="n">
        <v>11</v>
      </c>
      <c r="B55" s="48" t="n">
        <v>40914</v>
      </c>
      <c r="C55" s="47" t="n">
        <v>2</v>
      </c>
      <c r="D55" s="47" t="s">
        <v>117</v>
      </c>
      <c r="E55" s="47" t="n">
        <f aca="false">VLOOKUP(D55,приход!$T$3:$U$117,2,0)</f>
        <v>24</v>
      </c>
      <c r="F55" s="47" t="n">
        <v>2</v>
      </c>
      <c r="G55" s="47" t="n">
        <f aca="false">F55*E55</f>
        <v>48</v>
      </c>
      <c r="H55" s="47" t="n">
        <v>4.7</v>
      </c>
      <c r="I55" s="47" t="n">
        <f aca="false">H55*G55</f>
        <v>225.6</v>
      </c>
      <c r="J55" s="47" t="n">
        <f aca="false">VLOOKUP(D55,приход!$D$3:$E$117,2,0)</f>
        <v>4</v>
      </c>
      <c r="K55" s="47" t="s">
        <v>137</v>
      </c>
    </row>
    <row r="56" customFormat="false" ht="13.8" hidden="false" customHeight="false" outlineLevel="0" collapsed="false">
      <c r="A56" s="47" t="n">
        <v>12</v>
      </c>
      <c r="B56" s="48" t="n">
        <v>40914</v>
      </c>
      <c r="C56" s="47" t="n">
        <v>3</v>
      </c>
      <c r="D56" s="47" t="s">
        <v>117</v>
      </c>
      <c r="E56" s="47" t="n">
        <f aca="false">VLOOKUP(D56,приход!$T$3:$U$117,2,0)</f>
        <v>24</v>
      </c>
      <c r="F56" s="47" t="n">
        <v>6</v>
      </c>
      <c r="G56" s="47" t="n">
        <f aca="false">F56*E56</f>
        <v>144</v>
      </c>
      <c r="H56" s="47" t="n">
        <v>4.7</v>
      </c>
      <c r="I56" s="47" t="n">
        <f aca="false">H56*G56</f>
        <v>676.8</v>
      </c>
      <c r="J56" s="47" t="n">
        <f aca="false">VLOOKUP(D56,приход!$D$3:$E$117,2,0)</f>
        <v>4</v>
      </c>
      <c r="K56" s="47" t="s">
        <v>146</v>
      </c>
    </row>
    <row r="57" customFormat="false" ht="13.8" hidden="false" customHeight="false" outlineLevel="0" collapsed="false">
      <c r="A57" s="47" t="n">
        <v>18</v>
      </c>
      <c r="B57" s="48" t="n">
        <v>40914</v>
      </c>
      <c r="C57" s="47" t="n">
        <v>4</v>
      </c>
      <c r="D57" s="47" t="s">
        <v>117</v>
      </c>
      <c r="E57" s="47" t="n">
        <f aca="false">VLOOKUP(D57,приход!$T$3:$U$117,2,0)</f>
        <v>24</v>
      </c>
      <c r="F57" s="47" t="n">
        <v>1</v>
      </c>
      <c r="G57" s="47" t="n">
        <f aca="false">F57*E57</f>
        <v>24</v>
      </c>
      <c r="H57" s="47" t="n">
        <v>4.7</v>
      </c>
      <c r="I57" s="47" t="n">
        <f aca="false">H57*G57</f>
        <v>112.8</v>
      </c>
      <c r="J57" s="47" t="n">
        <f aca="false">VLOOKUP(D57,приход!$D$3:$E$117,2,0)</f>
        <v>4</v>
      </c>
      <c r="K57" s="47" t="s">
        <v>138</v>
      </c>
    </row>
    <row r="58" customFormat="false" ht="13.8" hidden="false" customHeight="false" outlineLevel="0" collapsed="false">
      <c r="A58" s="47" t="n">
        <v>23</v>
      </c>
      <c r="B58" s="48" t="n">
        <v>40916</v>
      </c>
      <c r="C58" s="47" t="n">
        <v>5</v>
      </c>
      <c r="D58" s="47" t="s">
        <v>117</v>
      </c>
      <c r="E58" s="47" t="n">
        <f aca="false">VLOOKUP(D58,приход!$T$3:$U$117,2,0)</f>
        <v>24</v>
      </c>
      <c r="F58" s="47" t="n">
        <v>1</v>
      </c>
      <c r="G58" s="47" t="n">
        <f aca="false">F58*E58</f>
        <v>24</v>
      </c>
      <c r="H58" s="47" t="n">
        <v>4.7</v>
      </c>
      <c r="I58" s="47" t="n">
        <f aca="false">H58*G58</f>
        <v>112.8</v>
      </c>
      <c r="J58" s="47" t="n">
        <f aca="false">VLOOKUP(D58,приход!$D$3:$E$117,2,0)</f>
        <v>4</v>
      </c>
      <c r="K58" s="47" t="s">
        <v>139</v>
      </c>
    </row>
    <row r="59" customFormat="false" ht="13.8" hidden="false" customHeight="false" outlineLevel="0" collapsed="false">
      <c r="A59" s="47" t="n">
        <v>27</v>
      </c>
      <c r="B59" s="48" t="n">
        <v>40916</v>
      </c>
      <c r="C59" s="47" t="n">
        <v>6</v>
      </c>
      <c r="D59" s="47" t="s">
        <v>117</v>
      </c>
      <c r="E59" s="47" t="n">
        <f aca="false">VLOOKUP(D59,приход!$T$3:$U$117,2,0)</f>
        <v>24</v>
      </c>
      <c r="F59" s="47" t="n">
        <v>2</v>
      </c>
      <c r="G59" s="47" t="n">
        <f aca="false">F59*E59</f>
        <v>48</v>
      </c>
      <c r="H59" s="47" t="n">
        <v>4.7</v>
      </c>
      <c r="I59" s="47" t="n">
        <f aca="false">H59*G59</f>
        <v>225.6</v>
      </c>
      <c r="J59" s="47" t="n">
        <f aca="false">VLOOKUP(D59,приход!$D$3:$E$117,2,0)</f>
        <v>4</v>
      </c>
      <c r="K59" s="47" t="s">
        <v>140</v>
      </c>
    </row>
    <row r="60" customFormat="false" ht="13.8" hidden="false" customHeight="false" outlineLevel="0" collapsed="false">
      <c r="A60" s="47" t="n">
        <v>32</v>
      </c>
      <c r="B60" s="48" t="n">
        <v>40916</v>
      </c>
      <c r="C60" s="47" t="n">
        <v>7</v>
      </c>
      <c r="D60" s="47" t="s">
        <v>117</v>
      </c>
      <c r="E60" s="47" t="n">
        <f aca="false">VLOOKUP(D60,приход!$T$3:$U$117,2,0)</f>
        <v>24</v>
      </c>
      <c r="F60" s="47" t="n">
        <v>5</v>
      </c>
      <c r="G60" s="47" t="n">
        <f aca="false">F60*E60</f>
        <v>120</v>
      </c>
      <c r="H60" s="47" t="n">
        <v>4.7</v>
      </c>
      <c r="I60" s="47" t="n">
        <f aca="false">H60*G60</f>
        <v>564</v>
      </c>
      <c r="J60" s="47" t="n">
        <f aca="false">VLOOKUP(D60,приход!$D$3:$E$117,2,0)</f>
        <v>4</v>
      </c>
      <c r="K60" s="47" t="s">
        <v>141</v>
      </c>
    </row>
    <row r="61" customFormat="false" ht="13.8" hidden="false" customHeight="false" outlineLevel="0" collapsed="false">
      <c r="A61" s="47" t="n">
        <v>35</v>
      </c>
      <c r="B61" s="48" t="n">
        <v>40917</v>
      </c>
      <c r="C61" s="47" t="n">
        <v>8</v>
      </c>
      <c r="D61" s="47" t="s">
        <v>117</v>
      </c>
      <c r="E61" s="47" t="n">
        <f aca="false">VLOOKUP(D61,приход!$T$3:$U$117,2,0)</f>
        <v>24</v>
      </c>
      <c r="F61" s="47" t="n">
        <v>4</v>
      </c>
      <c r="G61" s="47" t="n">
        <f aca="false">F61*E61</f>
        <v>96</v>
      </c>
      <c r="H61" s="47" t="n">
        <v>4.7</v>
      </c>
      <c r="I61" s="47" t="n">
        <f aca="false">H61*G61</f>
        <v>451.2</v>
      </c>
      <c r="J61" s="47" t="n">
        <f aca="false">VLOOKUP(D61,приход!$D$3:$E$117,2,0)</f>
        <v>4</v>
      </c>
      <c r="K61" s="47" t="s">
        <v>143</v>
      </c>
    </row>
    <row r="62" customFormat="false" ht="13.8" hidden="false" customHeight="false" outlineLevel="0" collapsed="false">
      <c r="A62" s="47" t="n">
        <v>40</v>
      </c>
      <c r="B62" s="48" t="n">
        <v>40917</v>
      </c>
      <c r="C62" s="47" t="n">
        <v>9</v>
      </c>
      <c r="D62" s="47" t="s">
        <v>117</v>
      </c>
      <c r="E62" s="47" t="n">
        <f aca="false">VLOOKUP(D62,приход!$T$3:$U$117,2,0)</f>
        <v>24</v>
      </c>
      <c r="F62" s="47" t="n">
        <v>1</v>
      </c>
      <c r="G62" s="47" t="n">
        <f aca="false">F62*E62</f>
        <v>24</v>
      </c>
      <c r="H62" s="47" t="n">
        <v>4.7</v>
      </c>
      <c r="I62" s="47" t="n">
        <f aca="false">H62*G62</f>
        <v>112.8</v>
      </c>
      <c r="J62" s="47" t="n">
        <f aca="false">VLOOKUP(D62,приход!$D$3:$E$117,2,0)</f>
        <v>4</v>
      </c>
      <c r="K62" s="47" t="s">
        <v>134</v>
      </c>
    </row>
    <row r="63" customFormat="false" ht="13.8" hidden="false" customHeight="false" outlineLevel="0" collapsed="false">
      <c r="A63" s="47" t="n">
        <v>44</v>
      </c>
      <c r="B63" s="48" t="n">
        <v>40917</v>
      </c>
      <c r="C63" s="47" t="n">
        <v>10</v>
      </c>
      <c r="D63" s="47" t="s">
        <v>117</v>
      </c>
      <c r="E63" s="47" t="n">
        <f aca="false">VLOOKUP(D63,приход!$T$3:$U$117,2,0)</f>
        <v>24</v>
      </c>
      <c r="F63" s="47" t="n">
        <v>5</v>
      </c>
      <c r="G63" s="47" t="n">
        <f aca="false">F63*E63</f>
        <v>120</v>
      </c>
      <c r="H63" s="47" t="n">
        <v>4.7</v>
      </c>
      <c r="I63" s="47" t="n">
        <f aca="false">H63*G63</f>
        <v>564</v>
      </c>
      <c r="J63" s="47" t="n">
        <f aca="false">VLOOKUP(D63,приход!$D$3:$E$117,2,0)</f>
        <v>4</v>
      </c>
      <c r="K63" s="47" t="s">
        <v>142</v>
      </c>
    </row>
    <row r="64" customFormat="false" ht="13.8" hidden="false" customHeight="false" outlineLevel="0" collapsed="false">
      <c r="A64" s="47" t="n">
        <v>49</v>
      </c>
      <c r="B64" s="48" t="n">
        <v>40917</v>
      </c>
      <c r="C64" s="47" t="n">
        <v>11</v>
      </c>
      <c r="D64" s="47" t="s">
        <v>117</v>
      </c>
      <c r="E64" s="47" t="n">
        <f aca="false">VLOOKUP(D64,приход!$T$3:$U$117,2,0)</f>
        <v>24</v>
      </c>
      <c r="F64" s="47" t="n">
        <v>2</v>
      </c>
      <c r="G64" s="47" t="n">
        <f aca="false">F64*E64</f>
        <v>48</v>
      </c>
      <c r="H64" s="47" t="n">
        <v>4.7</v>
      </c>
      <c r="I64" s="47" t="n">
        <f aca="false">H64*G64</f>
        <v>225.6</v>
      </c>
      <c r="J64" s="47" t="n">
        <f aca="false">VLOOKUP(D64,приход!$D$3:$E$117,2,0)</f>
        <v>4</v>
      </c>
      <c r="K64" s="47" t="s">
        <v>140</v>
      </c>
    </row>
    <row r="65" customFormat="false" ht="13.8" hidden="false" customHeight="false" outlineLevel="0" collapsed="false">
      <c r="A65" s="47" t="n">
        <v>61</v>
      </c>
      <c r="B65" s="48" t="n">
        <v>40921</v>
      </c>
      <c r="C65" s="47" t="n">
        <v>13</v>
      </c>
      <c r="D65" s="47" t="s">
        <v>117</v>
      </c>
      <c r="E65" s="47" t="n">
        <f aca="false">VLOOKUP(D65,приход!$T$3:$U$117,2,0)</f>
        <v>24</v>
      </c>
      <c r="F65" s="47" t="n">
        <v>20</v>
      </c>
      <c r="G65" s="47" t="n">
        <f aca="false">F65*E65</f>
        <v>480</v>
      </c>
      <c r="H65" s="47" t="n">
        <v>4.7</v>
      </c>
      <c r="I65" s="47" t="n">
        <f aca="false">H65*G65</f>
        <v>2256</v>
      </c>
      <c r="J65" s="47" t="n">
        <f aca="false">VLOOKUP(D65,приход!$D$3:$E$117,2,0)</f>
        <v>4</v>
      </c>
      <c r="K65" s="47" t="s">
        <v>135</v>
      </c>
    </row>
    <row r="66" customFormat="false" ht="13.8" hidden="false" customHeight="false" outlineLevel="0" collapsed="false">
      <c r="A66" s="47" t="n">
        <v>33</v>
      </c>
      <c r="B66" s="48" t="n">
        <v>40916</v>
      </c>
      <c r="C66" s="47" t="n">
        <v>7</v>
      </c>
      <c r="D66" s="47" t="s">
        <v>123</v>
      </c>
      <c r="E66" s="47" t="n">
        <f aca="false">VLOOKUP(D66,приход!$T$3:$U$117,2,0)</f>
        <v>24</v>
      </c>
      <c r="F66" s="47" t="n">
        <v>2</v>
      </c>
      <c r="G66" s="47" t="n">
        <f aca="false">F66*E66</f>
        <v>48</v>
      </c>
      <c r="H66" s="47" t="n">
        <v>4.5</v>
      </c>
      <c r="I66" s="47" t="n">
        <f aca="false">H66*G66</f>
        <v>216</v>
      </c>
      <c r="J66" s="47" t="n">
        <f aca="false">VLOOKUP(D66,приход!$D$3:$E$117,2,0)</f>
        <v>4</v>
      </c>
      <c r="K66" s="47" t="s">
        <v>141</v>
      </c>
    </row>
    <row r="67" customFormat="false" ht="13.8" hidden="false" customHeight="false" outlineLevel="0" collapsed="false">
      <c r="A67" s="47" t="n">
        <v>45</v>
      </c>
      <c r="B67" s="48" t="n">
        <v>40917</v>
      </c>
      <c r="C67" s="47" t="n">
        <v>10</v>
      </c>
      <c r="D67" s="47" t="s">
        <v>123</v>
      </c>
      <c r="E67" s="47" t="n">
        <f aca="false">VLOOKUP(D67,приход!$T$3:$U$117,2,0)</f>
        <v>24</v>
      </c>
      <c r="F67" s="47" t="n">
        <v>1</v>
      </c>
      <c r="G67" s="47" t="n">
        <f aca="false">F67*E67</f>
        <v>24</v>
      </c>
      <c r="H67" s="47" t="n">
        <v>4.5</v>
      </c>
      <c r="I67" s="47" t="n">
        <f aca="false">H67*G67</f>
        <v>108</v>
      </c>
      <c r="J67" s="47" t="n">
        <f aca="false">VLOOKUP(D67,приход!$D$3:$E$117,2,0)</f>
        <v>4</v>
      </c>
      <c r="K67" s="47" t="s">
        <v>142</v>
      </c>
    </row>
    <row r="68" customFormat="false" ht="13.8" hidden="false" customHeight="false" outlineLevel="0" collapsed="false"/>
  </sheetData>
  <autoFilter ref="A2:K67"/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9" activeCellId="0" sqref="D29"/>
    </sheetView>
  </sheetViews>
  <sheetFormatPr defaultRowHeight="15" zeroHeight="false" outlineLevelRow="0" outlineLevelCol="0"/>
  <cols>
    <col collapsed="false" customWidth="true" hidden="false" outlineLevel="0" max="1" min="1" style="0" width="27.99"/>
    <col collapsed="false" customWidth="true" hidden="false" outlineLevel="0" max="2" min="2" style="0" width="16"/>
    <col collapsed="false" customWidth="true" hidden="false" outlineLevel="0" max="1025" min="3" style="0" width="12.57"/>
  </cols>
  <sheetData>
    <row r="1" customFormat="false" ht="15" hidden="false" customHeight="false" outlineLevel="0" collapsed="false">
      <c r="A1" s="1" t="s">
        <v>133</v>
      </c>
      <c r="B1" s="2" t="s">
        <v>147</v>
      </c>
    </row>
    <row r="2" customFormat="false" ht="15" hidden="false" customHeight="false" outlineLevel="0" collapsed="false">
      <c r="A2" s="3" t="s">
        <v>141</v>
      </c>
      <c r="B2" s="51" t="n">
        <v>543.6</v>
      </c>
    </row>
    <row r="3" customFormat="false" ht="15" hidden="false" customHeight="false" outlineLevel="0" collapsed="false">
      <c r="A3" s="5" t="s">
        <v>135</v>
      </c>
      <c r="B3" s="52" t="n">
        <v>17432.2</v>
      </c>
    </row>
    <row r="4" customFormat="false" ht="15" hidden="false" customHeight="false" outlineLevel="0" collapsed="false">
      <c r="A4" s="5" t="s">
        <v>142</v>
      </c>
      <c r="B4" s="52" t="n">
        <v>618.5</v>
      </c>
    </row>
    <row r="5" customFormat="false" ht="15" hidden="false" customHeight="false" outlineLevel="0" collapsed="false">
      <c r="A5" s="5" t="s">
        <v>138</v>
      </c>
      <c r="B5" s="52" t="n">
        <v>188.5</v>
      </c>
    </row>
    <row r="6" customFormat="false" ht="15" hidden="false" customHeight="false" outlineLevel="0" collapsed="false">
      <c r="A6" s="5" t="s">
        <v>137</v>
      </c>
      <c r="B6" s="52" t="n">
        <v>313.1</v>
      </c>
    </row>
    <row r="7" customFormat="false" ht="15" hidden="false" customHeight="false" outlineLevel="0" collapsed="false">
      <c r="A7" s="5" t="s">
        <v>139</v>
      </c>
      <c r="B7" s="52" t="n">
        <v>91.2</v>
      </c>
    </row>
    <row r="8" customFormat="false" ht="15" hidden="false" customHeight="false" outlineLevel="0" collapsed="false">
      <c r="A8" s="5" t="s">
        <v>143</v>
      </c>
      <c r="B8" s="52" t="n">
        <v>955.2</v>
      </c>
    </row>
    <row r="9" customFormat="false" ht="15" hidden="false" customHeight="false" outlineLevel="0" collapsed="false">
      <c r="A9" s="5" t="s">
        <v>134</v>
      </c>
      <c r="B9" s="52" t="n">
        <v>119.3</v>
      </c>
    </row>
    <row r="10" customFormat="false" ht="15" hidden="false" customHeight="false" outlineLevel="0" collapsed="false">
      <c r="A10" s="5" t="s">
        <v>146</v>
      </c>
      <c r="B10" s="52" t="n">
        <v>112.8</v>
      </c>
    </row>
    <row r="11" customFormat="false" ht="15" hidden="false" customHeight="false" outlineLevel="0" collapsed="false">
      <c r="A11" s="5" t="s">
        <v>140</v>
      </c>
      <c r="B11" s="52" t="n">
        <v>227.9</v>
      </c>
    </row>
    <row r="12" customFormat="false" ht="15" hidden="false" customHeight="false" outlineLevel="0" collapsed="false">
      <c r="A12" s="5" t="s">
        <v>145</v>
      </c>
      <c r="B12" s="52" t="n">
        <v>394.7</v>
      </c>
    </row>
    <row r="13" customFormat="false" ht="15" hidden="false" customHeight="false" outlineLevel="0" collapsed="false">
      <c r="A13" s="5" t="s">
        <v>136</v>
      </c>
      <c r="B13" s="52" t="n">
        <v>693</v>
      </c>
    </row>
    <row r="14" customFormat="false" ht="15" hidden="false" customHeight="false" outlineLevel="0" collapsed="false">
      <c r="A14" s="5" t="s">
        <v>144</v>
      </c>
      <c r="B14" s="53" t="n">
        <v>4651.6</v>
      </c>
    </row>
    <row r="15" customFormat="false" ht="15" hidden="false" customHeight="false" outlineLevel="0" collapsed="false">
      <c r="A15" s="8" t="s">
        <v>12</v>
      </c>
      <c r="B15" s="46" t="n">
        <v>26341.6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Roman,Standaard"&amp;12&amp;A</oddHeader>
    <oddFooter>&amp;C&amp;"Times New Roman,Standaard"&amp;12Страница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LibreOffice/6.1.4.2$Linux_X86_64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2013-02-25T08:45:08Z</dcterms:created>
  <dc:creator/>
  <dc:description/>
  <dc:language>en-US</dc:language>
  <cp:lastModifiedBy/>
  <dcterms:modified xsi:type="dcterms:W3CDTF">2021-11-27T09:47:39Z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