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Records2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Лист2" sheetId="1" state="visible" r:id="rId2"/>
    <sheet name="Лист1" sheetId="2" state="visible" r:id="rId3"/>
    <sheet name="Сводная таблица_Лист1_2" sheetId="3" state="visible" r:id="rId4"/>
  </sheets>
  <calcPr iterateCount="100" refMode="A1" iterate="false" iterateDelta="0.0001"/>
  <pivotCaches>
    <pivotCache cacheId="1" r:id="rId6"/>
    <pivotCache cacheId="2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<sst xmlns="http://schemas.openxmlformats.org/spreadsheetml/2006/main" count="39" uniqueCount="19">
  <si>
    <t xml:space="preserve">проффесия</t>
  </si>
  <si>
    <t xml:space="preserve">- все -</t>
  </si>
  <si>
    <t xml:space="preserve">(пусто)</t>
  </si>
  <si>
    <t xml:space="preserve">разряд работающего</t>
  </si>
  <si>
    <t xml:space="preserve">фио</t>
  </si>
  <si>
    <t xml:space="preserve">Итог Результат</t>
  </si>
  <si>
    <t xml:space="preserve">иванов</t>
  </si>
  <si>
    <t xml:space="preserve">ильин</t>
  </si>
  <si>
    <t xml:space="preserve">котов</t>
  </si>
  <si>
    <t xml:space="preserve">крылов</t>
  </si>
  <si>
    <t xml:space="preserve">павлов</t>
  </si>
  <si>
    <t xml:space="preserve">табельный номер</t>
  </si>
  <si>
    <t xml:space="preserve">тариф</t>
  </si>
  <si>
    <t xml:space="preserve">льгота</t>
  </si>
  <si>
    <t xml:space="preserve">Зарплата</t>
  </si>
  <si>
    <t xml:space="preserve">упаковщик</t>
  </si>
  <si>
    <t xml:space="preserve">весовщик</t>
  </si>
  <si>
    <t xml:space="preserve">грузчик</t>
  </si>
  <si>
    <t xml:space="preserve">Сумма - Зарплата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</si>
</sst>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Поле сводной таблицы" xfId="20"/>
    <cellStyle name="Угол сводной таблицы" xfId="21"/>
    <cellStyle name="Значение сводной таблицы" xfId="22"/>
    <cellStyle name="Категория сводной таблицы" xfId="23"/>
    <cellStyle name="Заглавие сводной таблицы" xfId="24"/>
    <cellStyle name="Результат сводной таблицы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2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" createdVersion="3">
  <cacheSource type="worksheet">
    <worksheetSource ref="A1:F6" sheet="Лист1"/>
  </cacheSource>
  <cacheFields count="6">
    <cacheField name="фио" numFmtId="0">
      <sharedItems count="5">
        <s v="иванов"/>
        <s v="ильин"/>
        <s v="котов"/>
        <s v="крылов"/>
        <s v="павлов"/>
      </sharedItems>
    </cacheField>
    <cacheField name="табельный номер" numFmtId="0">
      <sharedItems containsSemiMixedTypes="0" containsString="0" containsNumber="1" containsInteger="1" minValue="1235" maxValue="1239" count="5">
        <n v="1235"/>
        <n v="1236"/>
        <n v="1237"/>
        <n v="1238"/>
        <n v="1239"/>
      </sharedItems>
    </cacheField>
    <cacheField name="проффесия" numFmtId="0">
      <sharedItems count="3">
        <s v="весовщик"/>
        <s v="грузчик"/>
        <s v="упаковщик"/>
      </sharedItems>
    </cacheField>
    <cacheField name="разряд работающего" numFmtId="0">
      <sharedItems containsSemiMixedTypes="0" containsString="0" containsNumber="1" containsInteger="1" minValue="3" maxValue="5" count="3">
        <n v="3"/>
        <n v="4"/>
        <n v="5"/>
      </sharedItems>
    </cacheField>
    <cacheField name="тариф" numFmtId="0">
      <sharedItems containsSemiMixedTypes="0" containsString="0" containsNumber="1" minValue="4.38" maxValue="6.79" count="5">
        <n v="4.38"/>
        <n v="4.95"/>
        <n v="5.26"/>
        <n v="5.76"/>
        <n v="6.79"/>
      </sharedItems>
    </cacheField>
    <cacheField name="льгота" numFmtId="0">
      <sharedItems containsSemiMixedTypes="0" containsString="0" containsNumber="1" containsInteger="1" minValue="1" maxValue="2" count="2">
        <n v="1"/>
        <n v="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5" createdVersion="3">
  <cacheSource type="worksheet">
    <worksheetSource ref="A1:G6" sheet="Лист1"/>
  </cacheSource>
  <cacheFields count="7">
    <cacheField name="фио" numFmtId="0">
      <sharedItems count="5">
        <s v="иванов"/>
        <s v="ильин"/>
        <s v="котов"/>
        <s v="крылов"/>
        <s v="павлов"/>
      </sharedItems>
    </cacheField>
    <cacheField name="табельный номер" numFmtId="0">
      <sharedItems containsSemiMixedTypes="0" containsString="0" containsNumber="1" containsInteger="1" minValue="1235" maxValue="1239" count="5">
        <n v="1235"/>
        <n v="1236"/>
        <n v="1237"/>
        <n v="1238"/>
        <n v="1239"/>
      </sharedItems>
    </cacheField>
    <cacheField name="проффесия" numFmtId="0">
      <sharedItems count="3">
        <s v="весовщик"/>
        <s v="грузчик"/>
        <s v="упаковщик"/>
      </sharedItems>
    </cacheField>
    <cacheField name="разряд работающего" numFmtId="0">
      <sharedItems containsSemiMixedTypes="0" containsString="0" containsNumber="1" containsInteger="1" minValue="3" maxValue="5" count="3">
        <n v="3"/>
        <n v="4"/>
        <n v="5"/>
      </sharedItems>
    </cacheField>
    <cacheField name="тариф" numFmtId="0">
      <sharedItems containsSemiMixedTypes="0" containsString="0" containsNumber="1" minValue="4.38" maxValue="6.79" count="5">
        <n v="4.38"/>
        <n v="4.95"/>
        <n v="5.26"/>
        <n v="5.76"/>
        <n v="6.79"/>
      </sharedItems>
    </cacheField>
    <cacheField name="льгота" numFmtId="0">
      <sharedItems containsSemiMixedTypes="0" containsString="0" containsNumber="1" containsInteger="1" minValue="1" maxValue="2" count="2">
        <n v="1"/>
        <n v="2"/>
      </sharedItems>
    </cacheField>
    <cacheField name="Зарплата" numFmtId="0">
      <sharedItems containsSemiMixedTypes="0" containsString="0" containsNumber="1" minValue="735.84" maxValue="1140.72" count="5">
        <n v="735.84"/>
        <n v="831.6"/>
        <n v="883.68"/>
        <n v="967.68"/>
        <n v="1140.7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2"/>
    <x v="2"/>
    <x v="0"/>
    <x v="3"/>
    <x v="0"/>
  </r>
  <r>
    <x v="1"/>
    <x v="4"/>
    <x v="2"/>
    <x v="2"/>
    <x v="4"/>
    <x v="0"/>
  </r>
  <r>
    <x v="2"/>
    <x v="0"/>
    <x v="0"/>
    <x v="2"/>
    <x v="1"/>
    <x v="1"/>
  </r>
  <r>
    <x v="3"/>
    <x v="3"/>
    <x v="1"/>
    <x v="2"/>
    <x v="2"/>
    <x v="0"/>
  </r>
  <r>
    <x v="4"/>
    <x v="1"/>
    <x v="0"/>
    <x v="1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">
  <r>
    <x v="0"/>
    <x v="2"/>
    <x v="2"/>
    <x v="0"/>
    <x v="3"/>
    <x v="0"/>
    <x v="3"/>
  </r>
  <r>
    <x v="1"/>
    <x v="4"/>
    <x v="2"/>
    <x v="2"/>
    <x v="4"/>
    <x v="0"/>
    <x v="4"/>
  </r>
  <r>
    <x v="2"/>
    <x v="0"/>
    <x v="0"/>
    <x v="2"/>
    <x v="1"/>
    <x v="1"/>
    <x v="1"/>
  </r>
  <r>
    <x v="3"/>
    <x v="3"/>
    <x v="1"/>
    <x v="2"/>
    <x v="2"/>
    <x v="0"/>
    <x v="2"/>
  </r>
  <r>
    <x v="4"/>
    <x v="1"/>
    <x v="0"/>
    <x v="1"/>
    <x v="0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Сводная таблица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E10" firstHeaderRow="1" firstDataRow="2" firstDataCol="1" rowPageCount="1" colPageCount="1"/>
  <pivotFields count="6">
    <pivotField axis="axisRow" showAll="0" compact="0">
      <items count="6">
        <item x="0"/>
        <item x="1"/>
        <item x="2"/>
        <item x="3"/>
        <item x="4"/>
        <item t="default"/>
      </items>
    </pivotField>
    <pivotField showAll="0" compact="0"/>
    <pivotField axis="axisPage" showAll="0" compact="0">
      <items count="4">
        <item x="0"/>
        <item x="1"/>
        <item x="2"/>
        <item t="default"/>
      </items>
    </pivotField>
    <pivotField axis="axisCol" showAll="0" compact="0">
      <items count="4">
        <item x="0"/>
        <item x="1"/>
        <item x="2"/>
        <item t="default"/>
      </items>
    </pivotField>
    <pivotField showAll="0" compact="0"/>
    <pivotField showAll="0" compact="0"/>
  </pivotFields>
  <rowFields count="1">
    <field x="0"/>
  </rowFields>
  <colFields count="1">
    <field x="3"/>
  </colFields>
  <pageFields count="1">
    <pageField fld="2" hier="-1"/>
  </pageFields>
</pivotTableDefinition>
</file>

<file path=xl/pivotTables/pivotTable2.xml><?xml version="1.0" encoding="utf-8"?>
<pivotTableDefinition xmlns="http://schemas.openxmlformats.org/spreadsheetml/2006/main" name="DataPilot2" cacheId="2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E8" firstHeaderRow="1" firstDataRow="2" firstDataCol="1"/>
  <pivotFields count="7">
    <pivotField axis="axisRow" showAll="0" defaultSubtotal="0" compact="0" outline="0">
      <items count="5">
        <item x="0"/>
        <item x="1"/>
        <item x="2"/>
        <item x="3"/>
        <item x="4"/>
      </items>
    </pivotField>
    <pivotField showAll="0" compact="0"/>
    <pivotField showAll="0" compact="0"/>
    <pivotField axis="axisCol" showAll="0" defaultSubtotal="0" compact="0" outline="0">
      <items count="3">
        <item x="0"/>
        <item x="1"/>
        <item x="2"/>
      </items>
    </pivotField>
    <pivotField showAll="0" compact="0"/>
    <pivotField showAll="0" compact="0"/>
    <pivotField dataField="1" showAll="0" compact="0" outline="0"/>
  </pivotFields>
  <rowFields count="1">
    <field x="0"/>
  </rowFields>
  <colFields count="1">
    <field x="3"/>
  </colFields>
  <dataFields count="1">
    <dataField fld="6" subtotal="sum"/>
  </dataFields>
</pivotTableDefinition>
</file>

<file path=xl/tables/table1.xml><?xml version="1.0" encoding="utf-8"?>
<table xmlns="http://schemas.openxmlformats.org/spreadsheetml/2006/main" id="1" name="Зарплата" displayName="Зарплата" ref="A1:F6" headerRowCount="1" totalsRowCount="0" totalsRowShown="0">
  <autoFilter ref="A1:F6"/>
  <tableColumns count="6">
    <tableColumn id="1" name="фио"/>
    <tableColumn id="2" name="табельный номер"/>
    <tableColumn id="3" name="проффесия"/>
    <tableColumn id="4" name="разряд работающего"/>
    <tableColumn id="5" name="тариф"/>
    <tableColumn id="6" name="льгота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5" activeCellId="0" sqref="B5"/>
    </sheetView>
  </sheetViews>
  <sheetFormatPr defaultRowHeight="15" zeroHeight="false" outlineLevelRow="0" outlineLevelCol="0"/>
  <cols>
    <col collapsed="false" customWidth="true" hidden="false" outlineLevel="0" max="1" min="1" style="0" width="18.86"/>
    <col collapsed="false" customWidth="true" hidden="false" outlineLevel="0" max="2" min="2" style="0" width="20.86"/>
    <col collapsed="false" customWidth="true" hidden="false" outlineLevel="0" max="3" min="3" style="0" width="8.14"/>
    <col collapsed="false" customWidth="true" hidden="false" outlineLevel="0" max="4" min="4" style="0" width="9.57"/>
    <col collapsed="false" customWidth="true" hidden="false" outlineLevel="0" max="5" min="5" style="0" width="11.86"/>
    <col collapsed="false" customWidth="true" hidden="false" outlineLevel="0" max="6" min="6" style="0" width="8.14"/>
    <col collapsed="false" customWidth="true" hidden="false" outlineLevel="0" max="7" min="7" style="0" width="11.86"/>
    <col collapsed="false" customWidth="true" hidden="false" outlineLevel="0" max="8" min="8" style="0" width="21.85"/>
    <col collapsed="false" customWidth="true" hidden="false" outlineLevel="0" max="9" min="9" style="0" width="24.58"/>
    <col collapsed="false" customWidth="true" hidden="false" outlineLevel="0" max="10" min="10" style="0" width="21.85"/>
    <col collapsed="false" customWidth="true" hidden="false" outlineLevel="0" max="11" min="11" style="0" width="24.58"/>
    <col collapsed="false" customWidth="true" hidden="false" outlineLevel="0" max="12" min="12" style="0" width="26.58"/>
    <col collapsed="false" customWidth="true" hidden="false" outlineLevel="0" max="13" min="13" style="0" width="29.28"/>
    <col collapsed="false" customWidth="true" hidden="false" outlineLevel="0" max="1025" min="14" style="0" width="8.73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3" customFormat="false" ht="15" hidden="false" customHeight="false" outlineLevel="0" collapsed="false">
      <c r="A3" s="3" t="s">
        <v>2</v>
      </c>
      <c r="B3" s="4" t="s">
        <v>3</v>
      </c>
      <c r="C3" s="5"/>
      <c r="D3" s="5"/>
      <c r="E3" s="6"/>
    </row>
    <row r="4" customFormat="false" ht="15" hidden="false" customHeight="false" outlineLevel="0" collapsed="false">
      <c r="A4" s="7" t="s">
        <v>4</v>
      </c>
      <c r="B4" s="8" t="n">
        <v>3</v>
      </c>
      <c r="C4" s="9" t="n">
        <v>4</v>
      </c>
      <c r="D4" s="9" t="n">
        <v>5</v>
      </c>
      <c r="E4" s="10" t="s">
        <v>5</v>
      </c>
    </row>
    <row r="5" customFormat="false" ht="15" hidden="false" customHeight="false" outlineLevel="0" collapsed="false">
      <c r="A5" s="11" t="s">
        <v>6</v>
      </c>
      <c r="B5" s="12"/>
      <c r="C5" s="13"/>
      <c r="D5" s="14"/>
      <c r="E5" s="15"/>
    </row>
    <row r="6" customFormat="false" ht="15" hidden="false" customHeight="false" outlineLevel="0" collapsed="false">
      <c r="A6" s="16" t="s">
        <v>7</v>
      </c>
      <c r="B6" s="17"/>
      <c r="C6" s="18"/>
      <c r="D6" s="19"/>
      <c r="E6" s="20"/>
    </row>
    <row r="7" customFormat="false" ht="15" hidden="false" customHeight="false" outlineLevel="0" collapsed="false">
      <c r="A7" s="16" t="s">
        <v>8</v>
      </c>
      <c r="B7" s="17"/>
      <c r="C7" s="18"/>
      <c r="D7" s="19"/>
      <c r="E7" s="20"/>
    </row>
    <row r="8" customFormat="false" ht="15" hidden="false" customHeight="false" outlineLevel="0" collapsed="false">
      <c r="A8" s="16" t="s">
        <v>9</v>
      </c>
      <c r="B8" s="17"/>
      <c r="C8" s="18"/>
      <c r="D8" s="19"/>
      <c r="E8" s="20"/>
    </row>
    <row r="9" customFormat="false" ht="15" hidden="false" customHeight="false" outlineLevel="0" collapsed="false">
      <c r="A9" s="16" t="s">
        <v>10</v>
      </c>
      <c r="B9" s="21"/>
      <c r="C9" s="22"/>
      <c r="D9" s="23"/>
      <c r="E9" s="24"/>
    </row>
    <row r="10" customFormat="false" ht="15" hidden="false" customHeight="false" outlineLevel="0" collapsed="false">
      <c r="A10" s="25" t="s">
        <v>5</v>
      </c>
      <c r="B10" s="26"/>
      <c r="C10" s="27"/>
      <c r="D10" s="28"/>
      <c r="E10" s="29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4.14"/>
    <col collapsed="false" customWidth="true" hidden="false" outlineLevel="0" max="2" min="2" style="0" width="19.86"/>
    <col collapsed="false" customWidth="true" hidden="false" outlineLevel="0" max="3" min="3" style="0" width="18.57"/>
    <col collapsed="false" customWidth="true" hidden="false" outlineLevel="0" max="4" min="4" style="0" width="27.71"/>
    <col collapsed="false" customWidth="false" hidden="false" outlineLevel="0" max="6" min="5" style="0" width="11.43"/>
    <col collapsed="false" customWidth="true" hidden="false" outlineLevel="0" max="1025" min="7" style="0" width="8.73"/>
  </cols>
  <sheetData>
    <row r="1" customFormat="false" ht="15" hidden="false" customHeight="false" outlineLevel="0" collapsed="false">
      <c r="A1" s="30" t="s">
        <v>4</v>
      </c>
      <c r="B1" s="30" t="s">
        <v>11</v>
      </c>
      <c r="C1" s="30" t="s">
        <v>0</v>
      </c>
      <c r="D1" s="30" t="s">
        <v>3</v>
      </c>
      <c r="E1" s="30" t="s">
        <v>12</v>
      </c>
      <c r="F1" s="30" t="s">
        <v>13</v>
      </c>
      <c r="G1" s="0" t="s">
        <v>14</v>
      </c>
    </row>
    <row r="2" customFormat="false" ht="13.8" hidden="false" customHeight="false" outlineLevel="0" collapsed="false">
      <c r="A2" s="0" t="s">
        <v>6</v>
      </c>
      <c r="B2" s="0" t="n">
        <v>1237</v>
      </c>
      <c r="C2" s="0" t="s">
        <v>15</v>
      </c>
      <c r="D2" s="0" t="n">
        <v>3</v>
      </c>
      <c r="E2" s="0" t="n">
        <v>5.76</v>
      </c>
      <c r="F2" s="0" t="n">
        <v>1</v>
      </c>
      <c r="G2" s="0" t="n">
        <f aca="false">E2*168</f>
        <v>967.68</v>
      </c>
    </row>
    <row r="3" customFormat="false" ht="13.8" hidden="false" customHeight="false" outlineLevel="0" collapsed="false">
      <c r="A3" s="0" t="s">
        <v>7</v>
      </c>
      <c r="B3" s="0" t="n">
        <v>1239</v>
      </c>
      <c r="C3" s="0" t="s">
        <v>15</v>
      </c>
      <c r="D3" s="0" t="n">
        <v>5</v>
      </c>
      <c r="E3" s="0" t="n">
        <v>6.79</v>
      </c>
      <c r="F3" s="0" t="n">
        <v>1</v>
      </c>
      <c r="G3" s="0" t="n">
        <f aca="false">E3*168</f>
        <v>1140.72</v>
      </c>
    </row>
    <row r="4" customFormat="false" ht="13.8" hidden="false" customHeight="false" outlineLevel="0" collapsed="false">
      <c r="A4" s="0" t="s">
        <v>8</v>
      </c>
      <c r="B4" s="0" t="n">
        <v>1235</v>
      </c>
      <c r="C4" s="0" t="s">
        <v>16</v>
      </c>
      <c r="D4" s="0" t="n">
        <v>5</v>
      </c>
      <c r="E4" s="0" t="n">
        <v>4.95</v>
      </c>
      <c r="F4" s="0" t="n">
        <v>2</v>
      </c>
      <c r="G4" s="0" t="n">
        <f aca="false">E4*168</f>
        <v>831.6</v>
      </c>
    </row>
    <row r="5" customFormat="false" ht="13.8" hidden="false" customHeight="false" outlineLevel="0" collapsed="false">
      <c r="A5" s="0" t="s">
        <v>9</v>
      </c>
      <c r="B5" s="0" t="n">
        <v>1238</v>
      </c>
      <c r="C5" s="0" t="s">
        <v>17</v>
      </c>
      <c r="D5" s="0" t="n">
        <v>5</v>
      </c>
      <c r="E5" s="0" t="n">
        <v>5.26</v>
      </c>
      <c r="F5" s="0" t="n">
        <v>1</v>
      </c>
      <c r="G5" s="0" t="n">
        <f aca="false">E5*168</f>
        <v>883.68</v>
      </c>
    </row>
    <row r="6" customFormat="false" ht="13.8" hidden="false" customHeight="false" outlineLevel="0" collapsed="false">
      <c r="A6" s="0" t="s">
        <v>10</v>
      </c>
      <c r="B6" s="0" t="n">
        <v>1236</v>
      </c>
      <c r="C6" s="0" t="s">
        <v>16</v>
      </c>
      <c r="D6" s="0" t="n">
        <v>4</v>
      </c>
      <c r="E6" s="0" t="n">
        <v>4.38</v>
      </c>
      <c r="F6" s="0" t="n">
        <v>2</v>
      </c>
      <c r="G6" s="0" t="n">
        <f aca="false">E6*168</f>
        <v>735.84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12.54"/>
  </cols>
  <sheetData>
    <row r="1" customFormat="false" ht="12.8" hidden="false" customHeight="false" outlineLevel="0" collapsed="false">
      <c r="A1" s="3" t="s">
        <v>18</v>
      </c>
      <c r="B1" s="4" t="s">
        <v>3</v>
      </c>
      <c r="C1" s="5"/>
      <c r="D1" s="5"/>
      <c r="E1" s="6"/>
    </row>
    <row r="2" customFormat="false" ht="12.8" hidden="false" customHeight="false" outlineLevel="0" collapsed="false">
      <c r="A2" s="7" t="s">
        <v>4</v>
      </c>
      <c r="B2" s="8" t="n">
        <v>3</v>
      </c>
      <c r="C2" s="9" t="n">
        <v>4</v>
      </c>
      <c r="D2" s="9" t="n">
        <v>5</v>
      </c>
      <c r="E2" s="10" t="s">
        <v>5</v>
      </c>
    </row>
    <row r="3" customFormat="false" ht="12.8" hidden="false" customHeight="false" outlineLevel="0" collapsed="false">
      <c r="A3" s="11" t="s">
        <v>6</v>
      </c>
      <c r="B3" s="12" t="n">
        <v>967.68</v>
      </c>
      <c r="C3" s="13"/>
      <c r="D3" s="14"/>
      <c r="E3" s="15" t="n">
        <v>967.68</v>
      </c>
    </row>
    <row r="4" customFormat="false" ht="12.8" hidden="false" customHeight="false" outlineLevel="0" collapsed="false">
      <c r="A4" s="16" t="s">
        <v>7</v>
      </c>
      <c r="B4" s="17"/>
      <c r="C4" s="18"/>
      <c r="D4" s="19" t="n">
        <v>1140.72</v>
      </c>
      <c r="E4" s="20" t="n">
        <v>1140.72</v>
      </c>
    </row>
    <row r="5" customFormat="false" ht="12.8" hidden="false" customHeight="false" outlineLevel="0" collapsed="false">
      <c r="A5" s="16" t="s">
        <v>8</v>
      </c>
      <c r="B5" s="17"/>
      <c r="C5" s="18"/>
      <c r="D5" s="19" t="n">
        <v>831.6</v>
      </c>
      <c r="E5" s="20" t="n">
        <v>831.6</v>
      </c>
    </row>
    <row r="6" customFormat="false" ht="12.8" hidden="false" customHeight="false" outlineLevel="0" collapsed="false">
      <c r="A6" s="16" t="s">
        <v>9</v>
      </c>
      <c r="B6" s="17"/>
      <c r="C6" s="18"/>
      <c r="D6" s="19" t="n">
        <v>883.68</v>
      </c>
      <c r="E6" s="20" t="n">
        <v>883.68</v>
      </c>
    </row>
    <row r="7" customFormat="false" ht="12.8" hidden="false" customHeight="false" outlineLevel="0" collapsed="false">
      <c r="A7" s="16" t="s">
        <v>10</v>
      </c>
      <c r="B7" s="21"/>
      <c r="C7" s="22" t="n">
        <v>735.84</v>
      </c>
      <c r="D7" s="23"/>
      <c r="E7" s="24" t="n">
        <v>735.84</v>
      </c>
    </row>
    <row r="8" customFormat="false" ht="12.8" hidden="false" customHeight="false" outlineLevel="0" collapsed="false">
      <c r="A8" s="25" t="s">
        <v>5</v>
      </c>
      <c r="B8" s="26" t="n">
        <v>967.68</v>
      </c>
      <c r="C8" s="27" t="n">
        <v>735.84</v>
      </c>
      <c r="D8" s="28" t="n">
        <v>2856</v>
      </c>
      <c r="E8" s="29" t="n">
        <v>4559.52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Roman,Standaard"&amp;12&amp;A</oddHeader>
    <oddFooter>&amp;C&amp;"Times New Roman,Standaard"&amp;12Страница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LibreOffice/6.1.4.2$Linux_X86_64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Игорь</dc:creator>
  <dc:description/>
  <dc:language>en-US</dc:language>
  <cp:lastModifiedBy/>
  <dcterms:modified xsi:type="dcterms:W3CDTF">2021-10-23T09:39:33Z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