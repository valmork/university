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570" windowHeight="8085" activeTab="8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Задача 5" sheetId="5" r:id="rId5"/>
    <sheet name="Задача 6" sheetId="6" r:id="rId6"/>
    <sheet name="Задача 7" sheetId="7" r:id="rId7"/>
    <sheet name="Задача 8" sheetId="8" r:id="rId8"/>
    <sheet name="Задача 9" sheetId="9" r:id="rId9"/>
  </sheets>
  <definedNames>
    <definedName name="solver_adj" localSheetId="0" hidden="1">'Задача 1'!$B$9:$C$9</definedName>
    <definedName name="solver_adj" localSheetId="1" hidden="1">'Задача 2'!$B$9:$F$9</definedName>
    <definedName name="solver_adj" localSheetId="2" hidden="1">'Задача 3'!$C$6:$C$7</definedName>
    <definedName name="solver_adj" localSheetId="3" hidden="1">'Задача 4'!$B$6:$B$7</definedName>
    <definedName name="solver_adj" localSheetId="4" hidden="1">'Задача 5'!$B$7:$D$7</definedName>
    <definedName name="solver_adj" localSheetId="5" hidden="1">'Задача 6'!$B$8:$D$8</definedName>
    <definedName name="solver_adj" localSheetId="6" hidden="1">'Задача 7'!$B$13:$E$16</definedName>
    <definedName name="solver_adj" localSheetId="7" hidden="1">'Задача 8'!$B$7:$D$7</definedName>
    <definedName name="solver_adj" localSheetId="8" hidden="1">'Задача 9'!$B$14:$E$14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1</definedName>
    <definedName name="solver_drv" localSheetId="1" hidden="1">2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 hidden="1">2</definedName>
    <definedName name="solver_eng" localSheetId="1" hidden="1">1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100</definedName>
    <definedName name="solver_itr" localSheetId="7" hidden="1">100</definedName>
    <definedName name="solver_itr" localSheetId="8" hidden="1">2147483647</definedName>
    <definedName name="solver_lhs1" localSheetId="0" hidden="1">'Задача 1'!$E$5</definedName>
    <definedName name="solver_lhs1" localSheetId="1" hidden="1">'Задача 2'!$B$9:$F$9</definedName>
    <definedName name="solver_lhs1" localSheetId="2" hidden="1">'Задача 3'!$C$4</definedName>
    <definedName name="solver_lhs1" localSheetId="3" hidden="1">'Задача 4'!$B$6</definedName>
    <definedName name="solver_lhs1" localSheetId="4" hidden="1">'Задача 5'!$B$7</definedName>
    <definedName name="solver_lhs1" localSheetId="5" hidden="1">'Задача 6'!$B$8</definedName>
    <definedName name="solver_lhs1" localSheetId="6" hidden="1">'Задача 7'!$B$13:$E$16</definedName>
    <definedName name="solver_lhs1" localSheetId="7" hidden="1">'Задача 8'!$B$7</definedName>
    <definedName name="solver_lhs1" localSheetId="8" hidden="1">'Задача 9'!$F$6</definedName>
    <definedName name="solver_lhs10" localSheetId="6" hidden="1">'Задача 7'!$F$16</definedName>
    <definedName name="solver_lhs2" localSheetId="0" hidden="1">'Задача 1'!$E$6</definedName>
    <definedName name="solver_lhs2" localSheetId="1" hidden="1">'Задача 2'!$B$9:$F$9</definedName>
    <definedName name="solver_lhs2" localSheetId="2" hidden="1">'Задача 3'!$C$6</definedName>
    <definedName name="solver_lhs2" localSheetId="3" hidden="1">'Задача 4'!$B$7</definedName>
    <definedName name="solver_lhs2" localSheetId="4" hidden="1">'Задача 5'!$C$7</definedName>
    <definedName name="solver_lhs2" localSheetId="5" hidden="1">'Задача 6'!$C$8</definedName>
    <definedName name="solver_lhs2" localSheetId="6" hidden="1">'Задача 7'!$D$17</definedName>
    <definedName name="solver_lhs2" localSheetId="7" hidden="1">'Задача 8'!$C$7</definedName>
    <definedName name="solver_lhs2" localSheetId="8" hidden="1">'Задача 9'!$F$7</definedName>
    <definedName name="solver_lhs3" localSheetId="0" hidden="1">'Задача 1'!$E$7</definedName>
    <definedName name="solver_lhs3" localSheetId="1" hidden="1">'Задача 2'!$G$5</definedName>
    <definedName name="solver_lhs3" localSheetId="2" hidden="1">'Задача 3'!$C$6</definedName>
    <definedName name="solver_lhs3" localSheetId="3" hidden="1">'Задача 4'!$B$3</definedName>
    <definedName name="solver_lhs3" localSheetId="4" hidden="1">'Задача 5'!$D$7</definedName>
    <definedName name="solver_lhs3" localSheetId="5" hidden="1">'Задача 6'!$D$8</definedName>
    <definedName name="solver_lhs3" localSheetId="6" hidden="1">'Задача 7'!$B$17</definedName>
    <definedName name="solver_lhs3" localSheetId="7" hidden="1">'Задача 8'!$D$7</definedName>
    <definedName name="solver_lhs3" localSheetId="8" hidden="1">'Задача 9'!$F$8</definedName>
    <definedName name="solver_lhs4" localSheetId="1" hidden="1">'Задача 2'!$G$6</definedName>
    <definedName name="solver_lhs4" localSheetId="2" hidden="1">'Задача 3'!$C$7</definedName>
    <definedName name="solver_lhs4" localSheetId="3" hidden="1">'Задача 4'!$C$3</definedName>
    <definedName name="solver_lhs4" localSheetId="4" hidden="1">'Задача 5'!$F$3</definedName>
    <definedName name="solver_lhs4" localSheetId="5" hidden="1">'Задача 6'!$F$3</definedName>
    <definedName name="solver_lhs4" localSheetId="6" hidden="1">'Задача 7'!$C$17</definedName>
    <definedName name="solver_lhs4" localSheetId="7" hidden="1">'Задача 8'!$B$7:$D$7</definedName>
    <definedName name="solver_lhs4" localSheetId="8" hidden="1">'Задача 9'!$F$8</definedName>
    <definedName name="solver_lhs5" localSheetId="1" hidden="1">'Задача 2'!$G$7</definedName>
    <definedName name="solver_lhs5" localSheetId="2" hidden="1">'Задача 3'!$D$2</definedName>
    <definedName name="solver_lhs5" localSheetId="3" hidden="1">'Задача 4'!$D$3</definedName>
    <definedName name="solver_lhs5" localSheetId="4" hidden="1">'Задача 5'!$F$4</definedName>
    <definedName name="solver_lhs5" localSheetId="5" hidden="1">'Задача 6'!$F$4</definedName>
    <definedName name="solver_lhs5" localSheetId="6" hidden="1">'Задача 7'!$E$17</definedName>
    <definedName name="solver_lhs5" localSheetId="7" hidden="1">'Задача 8'!$F$2</definedName>
    <definedName name="solver_lhs6" localSheetId="1" hidden="1">'Задача 2'!$H$4</definedName>
    <definedName name="solver_lhs6" localSheetId="2" hidden="1">'Задача 3'!$D$3</definedName>
    <definedName name="solver_lhs6" localSheetId="4" hidden="1">'Задача 5'!$F$5</definedName>
    <definedName name="solver_lhs6" localSheetId="5" hidden="1">'Задача 6'!$F$5</definedName>
    <definedName name="solver_lhs6" localSheetId="6" hidden="1">'Задача 7'!$B$13:$E$16</definedName>
    <definedName name="solver_lhs6" localSheetId="7" hidden="1">'Задача 8'!$F$3</definedName>
    <definedName name="solver_lhs7" localSheetId="5" hidden="1">'Задача 6'!$F$6</definedName>
    <definedName name="solver_lhs7" localSheetId="6" hidden="1">'Задача 7'!$F$13</definedName>
    <definedName name="solver_lhs7" localSheetId="7" hidden="1">'Задача 8'!$B$7:$D$7</definedName>
    <definedName name="solver_lhs8" localSheetId="6" hidden="1">'Задача 7'!$F$14</definedName>
    <definedName name="solver_lhs8" localSheetId="7" hidden="1">'Задача 8'!$F$4</definedName>
    <definedName name="solver_lhs9" localSheetId="6" hidden="1">'Задача 7'!$F$15</definedName>
    <definedName name="solver_lin" localSheetId="6" hidden="1">2</definedName>
    <definedName name="solver_lin" localSheetId="7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2</definedName>
    <definedName name="solver_neg" localSheetId="7" hidden="1">2</definedName>
    <definedName name="solver_neg" localSheetId="8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3</definedName>
    <definedName name="solver_num" localSheetId="1" hidden="1">6</definedName>
    <definedName name="solver_num" localSheetId="2" hidden="1">6</definedName>
    <definedName name="solver_num" localSheetId="3" hidden="1">5</definedName>
    <definedName name="solver_num" localSheetId="4" hidden="1">6</definedName>
    <definedName name="solver_num" localSheetId="5" hidden="1">7</definedName>
    <definedName name="solver_num" localSheetId="6" hidden="1">10</definedName>
    <definedName name="solver_num" localSheetId="7" hidden="1">8</definedName>
    <definedName name="solver_num" localSheetId="8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'Задача 1'!$D$10</definedName>
    <definedName name="solver_opt" localSheetId="1" hidden="1">'Задача 2'!$G$10</definedName>
    <definedName name="solver_opt" localSheetId="2" hidden="1">'Задача 3'!$B$10</definedName>
    <definedName name="solver_opt" localSheetId="3" hidden="1">'Задача 4'!$D$6</definedName>
    <definedName name="solver_opt" localSheetId="4" hidden="1">'Задача 5'!$E$8</definedName>
    <definedName name="solver_opt" localSheetId="5" hidden="1">'Задача 6'!$E$9</definedName>
    <definedName name="solver_opt" localSheetId="6" hidden="1">'Задача 7'!$H$8</definedName>
    <definedName name="solver_opt" localSheetId="7" hidden="1">'Задача 8'!$G$3</definedName>
    <definedName name="solver_opt" localSheetId="8" hidden="1">'Задача 9'!$F$14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2</definedName>
    <definedName name="solver_rbv" localSheetId="7" hidden="1">1</definedName>
    <definedName name="solver_rbv" localSheetId="8" hidden="1">1</definedName>
    <definedName name="solver_rel1" localSheetId="0" hidden="1">1</definedName>
    <definedName name="solver_rel1" localSheetId="1" hidden="1">4</definedName>
    <definedName name="solver_rel1" localSheetId="2" hidden="1">3</definedName>
    <definedName name="solver_rel1" localSheetId="3" hidden="1">4</definedName>
    <definedName name="solver_rel1" localSheetId="4" hidden="1">4</definedName>
    <definedName name="solver_rel1" localSheetId="5" hidden="1">4</definedName>
    <definedName name="solver_rel1" localSheetId="6" hidden="1">4</definedName>
    <definedName name="solver_rel1" localSheetId="7" hidden="1">3</definedName>
    <definedName name="solver_rel1" localSheetId="8" hidden="1">1</definedName>
    <definedName name="solver_rel10" localSheetId="6" hidden="1">1</definedName>
    <definedName name="solver_rel2" localSheetId="0" hidden="1">1</definedName>
    <definedName name="solver_rel2" localSheetId="1" hidden="1">3</definedName>
    <definedName name="solver_rel2" localSheetId="2" hidden="1">4</definedName>
    <definedName name="solver_rel2" localSheetId="3" hidden="1">4</definedName>
    <definedName name="solver_rel2" localSheetId="4" hidden="1">4</definedName>
    <definedName name="solver_rel2" localSheetId="5" hidden="1">4</definedName>
    <definedName name="solver_rel2" localSheetId="6" hidden="1">3</definedName>
    <definedName name="solver_rel2" localSheetId="7" hidden="1">3</definedName>
    <definedName name="solver_rel2" localSheetId="8" hidden="1">1</definedName>
    <definedName name="solver_rel3" localSheetId="0" hidden="1">1</definedName>
    <definedName name="solver_rel3" localSheetId="1" hidden="1">1</definedName>
    <definedName name="solver_rel3" localSheetId="2" hidden="1">3</definedName>
    <definedName name="solver_rel3" localSheetId="3" hidden="1">1</definedName>
    <definedName name="solver_rel3" localSheetId="4" hidden="1">4</definedName>
    <definedName name="solver_rel3" localSheetId="5" hidden="1">4</definedName>
    <definedName name="solver_rel3" localSheetId="6" hidden="1">3</definedName>
    <definedName name="solver_rel3" localSheetId="7" hidden="1">3</definedName>
    <definedName name="solver_rel3" localSheetId="8" hidden="1">3</definedName>
    <definedName name="solver_rel4" localSheetId="1" hidden="1">1</definedName>
    <definedName name="solver_rel4" localSheetId="2" hidden="1">4</definedName>
    <definedName name="solver_rel4" localSheetId="3" hidden="1">1</definedName>
    <definedName name="solver_rel4" localSheetId="4" hidden="1">1</definedName>
    <definedName name="solver_rel4" localSheetId="5" hidden="1">1</definedName>
    <definedName name="solver_rel4" localSheetId="6" hidden="1">3</definedName>
    <definedName name="solver_rel4" localSheetId="7" hidden="1">4</definedName>
    <definedName name="solver_rel4" localSheetId="8" hidden="1">3</definedName>
    <definedName name="solver_rel5" localSheetId="1" hidden="1">1</definedName>
    <definedName name="solver_rel5" localSheetId="2" hidden="1">1</definedName>
    <definedName name="solver_rel5" localSheetId="3" hidden="1">1</definedName>
    <definedName name="solver_rel5" localSheetId="4" hidden="1">1</definedName>
    <definedName name="solver_rel5" localSheetId="5" hidden="1">1</definedName>
    <definedName name="solver_rel5" localSheetId="6" hidden="1">3</definedName>
    <definedName name="solver_rel5" localSheetId="7" hidden="1">1</definedName>
    <definedName name="solver_rel6" localSheetId="1" hidden="1">3</definedName>
    <definedName name="solver_rel6" localSheetId="2" hidden="1">1</definedName>
    <definedName name="solver_rel6" localSheetId="4" hidden="1">1</definedName>
    <definedName name="solver_rel6" localSheetId="5" hidden="1">1</definedName>
    <definedName name="solver_rel6" localSheetId="6" hidden="1">3</definedName>
    <definedName name="solver_rel6" localSheetId="7" hidden="1">1</definedName>
    <definedName name="solver_rel7" localSheetId="5" hidden="1">1</definedName>
    <definedName name="solver_rel7" localSheetId="6" hidden="1">1</definedName>
    <definedName name="solver_rel7" localSheetId="7" hidden="1">3</definedName>
    <definedName name="solver_rel8" localSheetId="6" hidden="1">1</definedName>
    <definedName name="solver_rel8" localSheetId="7" hidden="1">1</definedName>
    <definedName name="solver_rel9" localSheetId="6" hidden="1">1</definedName>
    <definedName name="solver_rhs1" localSheetId="0" hidden="1">'Задача 1'!$D$5</definedName>
    <definedName name="solver_rhs1" localSheetId="1" hidden="1">целое</definedName>
    <definedName name="solver_rhs1" localSheetId="2" hidden="1">'Задача 3'!$D$4</definedName>
    <definedName name="solver_rhs1" localSheetId="3" hidden="1">целое</definedName>
    <definedName name="solver_rhs1" localSheetId="4" hidden="1">целое</definedName>
    <definedName name="solver_rhs1" localSheetId="5" hidden="1">целое</definedName>
    <definedName name="solver_rhs1" localSheetId="6" hidden="1">целое</definedName>
    <definedName name="solver_rhs1" localSheetId="7" hidden="1">'Задача 8'!$B$6</definedName>
    <definedName name="solver_rhs1" localSheetId="8" hidden="1">180</definedName>
    <definedName name="solver_rhs10" localSheetId="6" hidden="1">'Задача 7'!$B$8</definedName>
    <definedName name="solver_rhs2" localSheetId="0" hidden="1">'Задача 1'!$D$6</definedName>
    <definedName name="solver_rhs2" localSheetId="1" hidden="1">0</definedName>
    <definedName name="solver_rhs2" localSheetId="2" hidden="1">целое</definedName>
    <definedName name="solver_rhs2" localSheetId="3" hidden="1">целое</definedName>
    <definedName name="solver_rhs2" localSheetId="4" hidden="1">целое</definedName>
    <definedName name="solver_rhs2" localSheetId="5" hidden="1">целое</definedName>
    <definedName name="solver_rhs2" localSheetId="6" hidden="1">'Задача 7'!$E$4</definedName>
    <definedName name="solver_rhs2" localSheetId="7" hidden="1">'Задача 8'!$C$6</definedName>
    <definedName name="solver_rhs2" localSheetId="8" hidden="1">80</definedName>
    <definedName name="solver_rhs3" localSheetId="0" hidden="1">'Задача 1'!$D$7</definedName>
    <definedName name="solver_rhs3" localSheetId="1" hidden="1">'Задача 2'!$H$5</definedName>
    <definedName name="solver_rhs3" localSheetId="2" hidden="1">'Задача 3'!$D$6</definedName>
    <definedName name="solver_rhs3" localSheetId="3" hidden="1">'Задача 4'!$B$2</definedName>
    <definedName name="solver_rhs3" localSheetId="4" hidden="1">целое</definedName>
    <definedName name="solver_rhs3" localSheetId="5" hidden="1">целое</definedName>
    <definedName name="solver_rhs3" localSheetId="6" hidden="1">'Задача 7'!$C$4</definedName>
    <definedName name="solver_rhs3" localSheetId="7" hidden="1">'Задача 8'!$D$6</definedName>
    <definedName name="solver_rhs3" localSheetId="8" hidden="1">1200</definedName>
    <definedName name="solver_rhs4" localSheetId="1" hidden="1">'Задача 2'!$H$6</definedName>
    <definedName name="solver_rhs4" localSheetId="2" hidden="1">целое</definedName>
    <definedName name="solver_rhs4" localSheetId="3" hidden="1">'Задача 4'!$C$2</definedName>
    <definedName name="solver_rhs4" localSheetId="4" hidden="1">'Задача 5'!$E$3</definedName>
    <definedName name="solver_rhs4" localSheetId="5" hidden="1">'Задача 6'!$E$3</definedName>
    <definedName name="solver_rhs4" localSheetId="6" hidden="1">'Задача 7'!$D$4</definedName>
    <definedName name="solver_rhs4" localSheetId="7" hidden="1">целое</definedName>
    <definedName name="solver_rhs4" localSheetId="8" hidden="1">1200</definedName>
    <definedName name="solver_rhs5" localSheetId="1" hidden="1">'Задача 2'!$H$7</definedName>
    <definedName name="solver_rhs5" localSheetId="2" hidden="1">'Задача 3'!$C$2</definedName>
    <definedName name="solver_rhs5" localSheetId="3" hidden="1">'Задача 4'!$D$2</definedName>
    <definedName name="solver_rhs5" localSheetId="4" hidden="1">'Задача 5'!$E$4</definedName>
    <definedName name="solver_rhs5" localSheetId="5" hidden="1">'Задача 6'!$E$4</definedName>
    <definedName name="solver_rhs5" localSheetId="6" hidden="1">'Задача 7'!$F$4</definedName>
    <definedName name="solver_rhs5" localSheetId="7" hidden="1">'Задача 8'!$E$2</definedName>
    <definedName name="solver_rhs6" localSheetId="1" hidden="1">'Задача 2'!$G$4</definedName>
    <definedName name="solver_rhs6" localSheetId="2" hidden="1">'Задача 3'!$C$3</definedName>
    <definedName name="solver_rhs6" localSheetId="4" hidden="1">'Задача 5'!$E$5</definedName>
    <definedName name="solver_rhs6" localSheetId="5" hidden="1">'Задача 6'!$E$5</definedName>
    <definedName name="solver_rhs6" localSheetId="6" hidden="1">0</definedName>
    <definedName name="solver_rhs6" localSheetId="7" hidden="1">'Задача 8'!$E$3</definedName>
    <definedName name="solver_rhs7" localSheetId="5" hidden="1">'Задача 6'!$E$6</definedName>
    <definedName name="solver_rhs7" localSheetId="6" hidden="1">'Задача 7'!$B$5</definedName>
    <definedName name="solver_rhs7" localSheetId="7" hidden="1">0</definedName>
    <definedName name="solver_rhs8" localSheetId="6" hidden="1">'Задача 7'!$B$6</definedName>
    <definedName name="solver_rhs8" localSheetId="7" hidden="1">'Задача 8'!$E$4</definedName>
    <definedName name="solver_rhs9" localSheetId="6" hidden="1">'Задача 7'!$B$7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1</definedName>
    <definedName name="solver_scl" localSheetId="1" hidden="1">2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2</definedName>
    <definedName name="solver_scl" localSheetId="7" hidden="1">2</definedName>
    <definedName name="solver_scl" localSheetId="8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100</definedName>
    <definedName name="solver_tim" localSheetId="7" hidden="1">100</definedName>
    <definedName name="solver_tim" localSheetId="8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0.05</definedName>
    <definedName name="solver_tol" localSheetId="7" hidden="1">0.05</definedName>
    <definedName name="solver_tol" localSheetId="8" hidden="1">0.01</definedName>
    <definedName name="solver_typ" localSheetId="0" hidden="1">1</definedName>
    <definedName name="solver_typ" localSheetId="1" hidden="1">2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6" hidden="1">2</definedName>
    <definedName name="solver_typ" localSheetId="7" hidden="1">1</definedName>
    <definedName name="solver_typ" localSheetId="8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81029"/>
</workbook>
</file>

<file path=xl/calcChain.xml><?xml version="1.0" encoding="utf-8"?>
<calcChain xmlns="http://schemas.openxmlformats.org/spreadsheetml/2006/main">
  <c r="B10" i="3" l="1"/>
  <c r="D9" i="6" l="1"/>
  <c r="C9" i="6"/>
  <c r="B9" i="6"/>
  <c r="F6" i="6"/>
  <c r="F5" i="6"/>
  <c r="F4" i="6"/>
  <c r="F3" i="6"/>
  <c r="F14" i="7"/>
  <c r="F15" i="7"/>
  <c r="F13" i="7"/>
  <c r="H8" i="7"/>
  <c r="H2" i="9"/>
  <c r="H3" i="9"/>
  <c r="B6" i="9"/>
  <c r="F2" i="8"/>
  <c r="F3" i="8"/>
  <c r="G3" i="8"/>
  <c r="F4" i="8"/>
  <c r="B10" i="8"/>
  <c r="C10" i="8"/>
  <c r="D10" i="8"/>
  <c r="F16" i="7"/>
  <c r="B17" i="7"/>
  <c r="C17" i="7"/>
  <c r="D17" i="7"/>
  <c r="E17" i="7"/>
  <c r="E9" i="6" l="1"/>
  <c r="C8" i="5"/>
  <c r="D8" i="5"/>
  <c r="B8" i="5"/>
  <c r="F5" i="5"/>
  <c r="F4" i="5"/>
  <c r="F3" i="5"/>
  <c r="D6" i="4"/>
  <c r="D7" i="4" s="1"/>
  <c r="D3" i="4"/>
  <c r="C3" i="4"/>
  <c r="B3" i="4"/>
  <c r="C8" i="3"/>
  <c r="D2" i="3" s="1"/>
  <c r="B7" i="3"/>
  <c r="B6" i="3"/>
  <c r="B2" i="3"/>
  <c r="E8" i="5" l="1"/>
  <c r="B8" i="3"/>
  <c r="D3" i="3"/>
  <c r="D4" i="3"/>
  <c r="B4" i="3"/>
  <c r="B3" i="3"/>
  <c r="H5" i="2"/>
  <c r="H6" i="2"/>
  <c r="H7" i="2"/>
  <c r="H4" i="2"/>
  <c r="C10" i="2"/>
  <c r="D10" i="2"/>
  <c r="E10" i="2"/>
  <c r="F10" i="2"/>
  <c r="B10" i="2"/>
  <c r="E7" i="1"/>
  <c r="E6" i="1"/>
  <c r="E5" i="1"/>
  <c r="C10" i="1"/>
  <c r="B10" i="1"/>
  <c r="G10" i="2" l="1"/>
  <c r="D10" i="1"/>
</calcChain>
</file>

<file path=xl/sharedStrings.xml><?xml version="1.0" encoding="utf-8"?>
<sst xmlns="http://schemas.openxmlformats.org/spreadsheetml/2006/main" count="116" uniqueCount="97">
  <si>
    <t>Вид корма</t>
  </si>
  <si>
    <t>Количество единиц корма, которое ежедневно должны получать</t>
  </si>
  <si>
    <t>Общее количество корма</t>
  </si>
  <si>
    <t>лисица</t>
  </si>
  <si>
    <t>песец</t>
  </si>
  <si>
    <t>I</t>
  </si>
  <si>
    <t>II</t>
  </si>
  <si>
    <t>III</t>
  </si>
  <si>
    <t>Прибыль от реализации одной шкурки (руб.)</t>
  </si>
  <si>
    <t>Прибыль:</t>
  </si>
  <si>
    <t>Всего животных:</t>
  </si>
  <si>
    <t>Общая прибыль:</t>
  </si>
  <si>
    <t>Состав</t>
  </si>
  <si>
    <t>Продукт</t>
  </si>
  <si>
    <t>Хлеб</t>
  </si>
  <si>
    <t>Соя</t>
  </si>
  <si>
    <t>Сушеная рыба</t>
  </si>
  <si>
    <t>Фрукты</t>
  </si>
  <si>
    <t>Молоко</t>
  </si>
  <si>
    <t>Белки</t>
  </si>
  <si>
    <t>Углеводы</t>
  </si>
  <si>
    <t>Жиры</t>
  </si>
  <si>
    <t>Витамины</t>
  </si>
  <si>
    <t>Цена, ден. ед.</t>
  </si>
  <si>
    <t>Кол-во продуктов:</t>
  </si>
  <si>
    <t>Усл.Диеты:</t>
  </si>
  <si>
    <t>Общая стоимость:</t>
  </si>
  <si>
    <t>Всего:</t>
  </si>
  <si>
    <t>Кол-во элементов сейчас:</t>
  </si>
  <si>
    <t>Полуфабрикаты:</t>
  </si>
  <si>
    <t>Кол-во (тонн):</t>
  </si>
  <si>
    <t>В1</t>
  </si>
  <si>
    <t>В2</t>
  </si>
  <si>
    <t>В3</t>
  </si>
  <si>
    <t>Продукция:</t>
  </si>
  <si>
    <t>А1</t>
  </si>
  <si>
    <t>А2</t>
  </si>
  <si>
    <t>А3</t>
  </si>
  <si>
    <t>Норма:</t>
  </si>
  <si>
    <t>Использовано:</t>
  </si>
  <si>
    <t>Стоимость:</t>
  </si>
  <si>
    <t>Сталь А</t>
  </si>
  <si>
    <t>Сталь В</t>
  </si>
  <si>
    <t>Сталь С</t>
  </si>
  <si>
    <t>Изделия</t>
  </si>
  <si>
    <t>Изготовить</t>
  </si>
  <si>
    <t>Использовать</t>
  </si>
  <si>
    <t>Имеется</t>
  </si>
  <si>
    <t>В рублях:</t>
  </si>
  <si>
    <t>Тип ресурса</t>
  </si>
  <si>
    <t>Нормы затрат сырья на единицу продукции, кг.</t>
  </si>
  <si>
    <t>Запасы сырья, кг</t>
  </si>
  <si>
    <t>I вид</t>
  </si>
  <si>
    <t>II вид</t>
  </si>
  <si>
    <t>III вид</t>
  </si>
  <si>
    <t>Сырьё 1</t>
  </si>
  <si>
    <t>Сырьё 2</t>
  </si>
  <si>
    <t>Сырьё 3</t>
  </si>
  <si>
    <t>Цена изделия, $</t>
  </si>
  <si>
    <t>Кол-во изделий</t>
  </si>
  <si>
    <t>прибыль</t>
  </si>
  <si>
    <t>Общая прибыль</t>
  </si>
  <si>
    <t>Ресурсы</t>
  </si>
  <si>
    <t>Затраты ресурсов на одно изделие</t>
  </si>
  <si>
    <t>Запас ресурсов</t>
  </si>
  <si>
    <t>А</t>
  </si>
  <si>
    <t>В</t>
  </si>
  <si>
    <t>С</t>
  </si>
  <si>
    <t>Оборудование</t>
  </si>
  <si>
    <t>Труд</t>
  </si>
  <si>
    <t>Прибыль</t>
  </si>
  <si>
    <t>IV</t>
  </si>
  <si>
    <t>Время</t>
  </si>
  <si>
    <t>Потребители и их спрос</t>
  </si>
  <si>
    <t>Возможности поставщиков</t>
  </si>
  <si>
    <t>Поставщики</t>
  </si>
  <si>
    <t>Всего</t>
  </si>
  <si>
    <t>Доход</t>
  </si>
  <si>
    <t>Упаковка</t>
  </si>
  <si>
    <t>Сборка</t>
  </si>
  <si>
    <t>Цел</t>
  </si>
  <si>
    <t>Изготовление</t>
  </si>
  <si>
    <t>Ограничения</t>
  </si>
  <si>
    <t>Всего часов</t>
  </si>
  <si>
    <t>Функция</t>
  </si>
  <si>
    <t>Лесной массив</t>
  </si>
  <si>
    <t>Фанера</t>
  </si>
  <si>
    <t>Пиломатериалы</t>
  </si>
  <si>
    <t>ограничение</t>
  </si>
  <si>
    <t>Кол-во</t>
  </si>
  <si>
    <t>Пихта</t>
  </si>
  <si>
    <t>Ель</t>
  </si>
  <si>
    <t>Ком.реализуемая</t>
  </si>
  <si>
    <t>Ресурсов потрачено</t>
  </si>
  <si>
    <t>Корма использовано</t>
  </si>
  <si>
    <t>Изготовить:</t>
  </si>
  <si>
    <t>Полная 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</si>
</sst>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р.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" fillId="0" borderId="0" xfId="1" applyBorder="1"/>
    <xf numFmtId="0" fontId="3" fillId="0" borderId="11" xfId="1" applyFont="1" applyBorder="1" applyAlignment="1">
      <alignment horizontal="center" vertical="center" wrapText="1"/>
    </xf>
    <xf numFmtId="0" fontId="1" fillId="0" borderId="11" xfId="1" applyFill="1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1" xfId="0" applyNumberFormat="1" applyBorder="1"/>
    <xf numFmtId="164" fontId="0" fillId="0" borderId="11" xfId="0" applyNumberFormat="1" applyBorder="1"/>
    <xf numFmtId="0" fontId="0" fillId="0" borderId="14" xfId="0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3" borderId="11" xfId="1" applyFill="1" applyBorder="1"/>
    <xf numFmtId="0" fontId="1" fillId="3" borderId="0" xfId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5" sqref="E5"/>
    </sheetView>
  </sheetViews>
  <sheetFormatPr defaultRowHeight="15" x14ac:dyDescent="0.25"/>
  <cols>
    <col min="1" max="1" width="14.5703125" customWidth="1"/>
    <col min="2" max="2" width="16.7109375" customWidth="1"/>
    <col min="3" max="3" width="19" customWidth="1"/>
    <col min="4" max="4" width="19.85546875" customWidth="1"/>
    <col min="5" max="5" width="20.28515625" bestFit="1" customWidth="1"/>
  </cols>
  <sheetData>
    <row r="1" spans="1:5" ht="15.75" x14ac:dyDescent="0.25">
      <c r="A1" s="45"/>
      <c r="B1" s="45"/>
      <c r="C1" s="45"/>
      <c r="D1" s="45"/>
    </row>
    <row r="2" spans="1:5" ht="16.5" thickBot="1" x14ac:dyDescent="0.3">
      <c r="A2" s="46"/>
      <c r="B2" s="46"/>
      <c r="C2" s="46"/>
      <c r="D2" s="46"/>
    </row>
    <row r="3" spans="1:5" ht="37.5" customHeight="1" thickBot="1" x14ac:dyDescent="0.3">
      <c r="A3" s="41" t="s">
        <v>0</v>
      </c>
      <c r="B3" s="43" t="s">
        <v>1</v>
      </c>
      <c r="C3" s="44"/>
      <c r="D3" s="41" t="s">
        <v>2</v>
      </c>
    </row>
    <row r="4" spans="1:5" ht="16.5" thickBot="1" x14ac:dyDescent="0.3">
      <c r="A4" s="42"/>
      <c r="B4" s="1" t="s">
        <v>3</v>
      </c>
      <c r="C4" s="1" t="s">
        <v>4</v>
      </c>
      <c r="D4" s="42"/>
      <c r="E4" t="s">
        <v>94</v>
      </c>
    </row>
    <row r="5" spans="1:5" ht="16.5" thickBot="1" x14ac:dyDescent="0.3">
      <c r="A5" s="2" t="s">
        <v>5</v>
      </c>
      <c r="B5" s="1">
        <v>2</v>
      </c>
      <c r="C5" s="1">
        <v>3</v>
      </c>
      <c r="D5" s="1">
        <v>180</v>
      </c>
      <c r="E5">
        <f>B5*B9+C5*C9</f>
        <v>150</v>
      </c>
    </row>
    <row r="6" spans="1:5" ht="16.5" thickBot="1" x14ac:dyDescent="0.3">
      <c r="A6" s="2" t="s">
        <v>6</v>
      </c>
      <c r="B6" s="1">
        <v>4</v>
      </c>
      <c r="C6" s="1">
        <v>1</v>
      </c>
      <c r="D6" s="1">
        <v>240</v>
      </c>
      <c r="E6">
        <f>B6*B9+C6*C9</f>
        <v>240</v>
      </c>
    </row>
    <row r="7" spans="1:5" ht="16.5" thickBot="1" x14ac:dyDescent="0.3">
      <c r="A7" s="2" t="s">
        <v>7</v>
      </c>
      <c r="B7" s="1">
        <v>6</v>
      </c>
      <c r="C7" s="1">
        <v>7</v>
      </c>
      <c r="D7" s="1">
        <v>426</v>
      </c>
      <c r="E7">
        <f>B7*B9+C7*C9</f>
        <v>426</v>
      </c>
    </row>
    <row r="8" spans="1:5" ht="63.75" thickBot="1" x14ac:dyDescent="0.3">
      <c r="A8" s="2" t="s">
        <v>8</v>
      </c>
      <c r="B8" s="1">
        <v>16</v>
      </c>
      <c r="C8" s="1">
        <v>12</v>
      </c>
      <c r="D8" s="3"/>
    </row>
    <row r="9" spans="1:5" ht="32.25" thickBot="1" x14ac:dyDescent="0.3">
      <c r="A9" s="2" t="s">
        <v>10</v>
      </c>
      <c r="B9" s="2">
        <v>57</v>
      </c>
      <c r="C9" s="2">
        <v>12</v>
      </c>
      <c r="D9" s="5" t="s">
        <v>11</v>
      </c>
    </row>
    <row r="10" spans="1:5" ht="16.5" thickBot="1" x14ac:dyDescent="0.3">
      <c r="A10" s="2" t="s">
        <v>9</v>
      </c>
      <c r="B10" s="2">
        <f>B8*B9</f>
        <v>912</v>
      </c>
      <c r="C10" s="2">
        <f>C8*C9</f>
        <v>144</v>
      </c>
      <c r="D10" s="4">
        <f>B10+C10</f>
        <v>1056</v>
      </c>
    </row>
  </sheetData>
  <mergeCells count="5">
    <mergeCell ref="A3:A4"/>
    <mergeCell ref="B3:C3"/>
    <mergeCell ref="D3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H7" sqref="H7"/>
    </sheetView>
  </sheetViews>
  <sheetFormatPr defaultRowHeight="15" x14ac:dyDescent="0.25"/>
  <cols>
    <col min="1" max="1" width="17.7109375" bestFit="1" customWidth="1"/>
    <col min="2" max="3" width="6.5703125" customWidth="1"/>
    <col min="4" max="4" width="8.42578125" bestFit="1" customWidth="1"/>
    <col min="5" max="6" width="8.5703125" bestFit="1" customWidth="1"/>
    <col min="7" max="7" width="11.28515625" bestFit="1" customWidth="1"/>
    <col min="8" max="8" width="13.42578125" customWidth="1"/>
  </cols>
  <sheetData>
    <row r="1" spans="1:10" ht="16.5" thickBot="1" x14ac:dyDescent="0.3">
      <c r="A1" s="46"/>
      <c r="B1" s="48"/>
      <c r="C1" s="48"/>
      <c r="D1" s="48"/>
      <c r="E1" s="48"/>
      <c r="F1" s="48"/>
    </row>
    <row r="2" spans="1:10" ht="16.5" thickBot="1" x14ac:dyDescent="0.3">
      <c r="A2" s="41" t="s">
        <v>12</v>
      </c>
      <c r="B2" s="43" t="s">
        <v>13</v>
      </c>
      <c r="C2" s="47"/>
      <c r="D2" s="47"/>
      <c r="E2" s="47"/>
      <c r="F2" s="44"/>
      <c r="G2" s="49" t="s">
        <v>25</v>
      </c>
      <c r="H2" s="51" t="s">
        <v>28</v>
      </c>
    </row>
    <row r="3" spans="1:10" ht="32.25" thickBot="1" x14ac:dyDescent="0.3">
      <c r="A3" s="42"/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50"/>
      <c r="H3" s="52"/>
    </row>
    <row r="4" spans="1:10" ht="16.5" thickBot="1" x14ac:dyDescent="0.3">
      <c r="A4" s="2" t="s">
        <v>19</v>
      </c>
      <c r="B4" s="1">
        <v>2</v>
      </c>
      <c r="C4" s="1">
        <v>12</v>
      </c>
      <c r="D4" s="1">
        <v>10</v>
      </c>
      <c r="E4" s="1">
        <v>1</v>
      </c>
      <c r="F4" s="1">
        <v>2</v>
      </c>
      <c r="G4" s="1">
        <v>20</v>
      </c>
      <c r="H4" s="8">
        <f>B4*B$9+C4*C$9+D4*D$9+E4*E$9+F4*F$9</f>
        <v>20</v>
      </c>
    </row>
    <row r="5" spans="1:10" ht="16.5" thickBot="1" x14ac:dyDescent="0.3">
      <c r="A5" s="2" t="s">
        <v>20</v>
      </c>
      <c r="B5" s="1">
        <v>12</v>
      </c>
      <c r="C5" s="1">
        <v>0</v>
      </c>
      <c r="D5" s="1">
        <v>0</v>
      </c>
      <c r="E5" s="1">
        <v>4</v>
      </c>
      <c r="F5" s="1">
        <v>3</v>
      </c>
      <c r="G5" s="1">
        <v>30</v>
      </c>
      <c r="H5" s="8">
        <f t="shared" ref="H5:H7" si="0">B5*B$9+C5*C$9+D5*D$9+E5*E$9+F5*F$9</f>
        <v>40</v>
      </c>
    </row>
    <row r="6" spans="1:10" ht="16.5" thickBot="1" x14ac:dyDescent="0.3">
      <c r="A6" s="2" t="s">
        <v>21</v>
      </c>
      <c r="B6" s="1">
        <v>1</v>
      </c>
      <c r="C6" s="1">
        <v>8</v>
      </c>
      <c r="D6" s="1">
        <v>3</v>
      </c>
      <c r="E6" s="1">
        <v>0</v>
      </c>
      <c r="F6" s="1">
        <v>4</v>
      </c>
      <c r="G6" s="1">
        <v>10</v>
      </c>
      <c r="H6" s="8">
        <f t="shared" si="0"/>
        <v>32</v>
      </c>
      <c r="I6" s="7"/>
    </row>
    <row r="7" spans="1:10" ht="16.5" thickBot="1" x14ac:dyDescent="0.3">
      <c r="A7" s="2" t="s">
        <v>22</v>
      </c>
      <c r="B7" s="1">
        <v>2</v>
      </c>
      <c r="C7" s="1">
        <v>2</v>
      </c>
      <c r="D7" s="1">
        <v>4</v>
      </c>
      <c r="E7" s="1">
        <v>6</v>
      </c>
      <c r="F7" s="1">
        <v>2</v>
      </c>
      <c r="G7" s="6">
        <v>40</v>
      </c>
      <c r="H7" s="8">
        <f t="shared" si="0"/>
        <v>40</v>
      </c>
    </row>
    <row r="8" spans="1:10" ht="16.5" thickBot="1" x14ac:dyDescent="0.3">
      <c r="A8" s="2" t="s">
        <v>23</v>
      </c>
      <c r="B8" s="1">
        <v>12</v>
      </c>
      <c r="C8" s="1">
        <v>36</v>
      </c>
      <c r="D8" s="1">
        <v>32</v>
      </c>
      <c r="E8" s="1">
        <v>18</v>
      </c>
      <c r="F8" s="6">
        <v>10</v>
      </c>
      <c r="G8" s="3"/>
      <c r="J8" s="7"/>
    </row>
    <row r="9" spans="1:10" ht="32.25" thickBot="1" x14ac:dyDescent="0.3">
      <c r="A9" s="1" t="s">
        <v>24</v>
      </c>
      <c r="B9" s="1">
        <v>0</v>
      </c>
      <c r="C9" s="1">
        <v>0</v>
      </c>
      <c r="D9" s="1">
        <v>0</v>
      </c>
      <c r="E9" s="1">
        <v>4</v>
      </c>
      <c r="F9" s="6">
        <v>8</v>
      </c>
      <c r="G9" s="6" t="s">
        <v>27</v>
      </c>
    </row>
    <row r="10" spans="1:10" ht="15.75" thickBot="1" x14ac:dyDescent="0.3">
      <c r="A10" s="8" t="s">
        <v>26</v>
      </c>
      <c r="B10" s="8">
        <f>B8*B9</f>
        <v>0</v>
      </c>
      <c r="C10" s="8">
        <f t="shared" ref="C10:F10" si="1">C8*C9</f>
        <v>0</v>
      </c>
      <c r="D10" s="8">
        <f t="shared" si="1"/>
        <v>0</v>
      </c>
      <c r="E10" s="8">
        <f t="shared" si="1"/>
        <v>72</v>
      </c>
      <c r="F10" s="8">
        <f t="shared" si="1"/>
        <v>80</v>
      </c>
      <c r="G10" s="8">
        <f>SUM(B10:F10)</f>
        <v>152</v>
      </c>
    </row>
  </sheetData>
  <mergeCells count="5">
    <mergeCell ref="A2:A3"/>
    <mergeCell ref="B2:F2"/>
    <mergeCell ref="A1:F1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0" sqref="B10"/>
    </sheetView>
  </sheetViews>
  <sheetFormatPr defaultRowHeight="15" x14ac:dyDescent="0.25"/>
  <cols>
    <col min="1" max="1" width="16.28515625" bestFit="1" customWidth="1"/>
    <col min="2" max="2" width="16" bestFit="1" customWidth="1"/>
    <col min="3" max="3" width="14.140625" bestFit="1" customWidth="1"/>
    <col min="4" max="4" width="14.7109375" bestFit="1" customWidth="1"/>
  </cols>
  <sheetData>
    <row r="1" spans="1:4" ht="15.75" thickBot="1" x14ac:dyDescent="0.3">
      <c r="A1" s="8" t="s">
        <v>29</v>
      </c>
      <c r="B1" s="8" t="s">
        <v>40</v>
      </c>
      <c r="C1" s="8" t="s">
        <v>30</v>
      </c>
      <c r="D1" s="8" t="s">
        <v>39</v>
      </c>
    </row>
    <row r="2" spans="1:4" ht="15.75" thickBot="1" x14ac:dyDescent="0.3">
      <c r="A2" s="8" t="s">
        <v>31</v>
      </c>
      <c r="B2" s="9">
        <f>400*C2</f>
        <v>160000</v>
      </c>
      <c r="C2" s="8">
        <v>400</v>
      </c>
      <c r="D2" s="8">
        <f>C$6*3+C$7+2*C$8</f>
        <v>195</v>
      </c>
    </row>
    <row r="3" spans="1:4" ht="15.75" thickBot="1" x14ac:dyDescent="0.3">
      <c r="A3" s="8" t="s">
        <v>32</v>
      </c>
      <c r="B3" s="9">
        <f>800*C3</f>
        <v>200000</v>
      </c>
      <c r="C3" s="8">
        <v>250</v>
      </c>
      <c r="D3" s="8">
        <f>C$6*5+C$7*2+2*C$8</f>
        <v>247</v>
      </c>
    </row>
    <row r="4" spans="1:4" ht="15.75" thickBot="1" x14ac:dyDescent="0.3">
      <c r="A4" s="8" t="s">
        <v>33</v>
      </c>
      <c r="B4" s="9">
        <f>500*C4</f>
        <v>175000</v>
      </c>
      <c r="C4" s="8">
        <v>350</v>
      </c>
      <c r="D4" s="8">
        <f>C$6*2+C$7+C$8</f>
        <v>112</v>
      </c>
    </row>
    <row r="5" spans="1:4" ht="15.75" thickBot="1" x14ac:dyDescent="0.3">
      <c r="A5" s="53" t="s">
        <v>34</v>
      </c>
      <c r="B5" s="54"/>
      <c r="C5" s="55"/>
      <c r="D5" s="8" t="s">
        <v>38</v>
      </c>
    </row>
    <row r="6" spans="1:4" ht="15.75" thickBot="1" x14ac:dyDescent="0.3">
      <c r="A6" s="8" t="s">
        <v>35</v>
      </c>
      <c r="B6" s="9">
        <f>1200*C6</f>
        <v>27600</v>
      </c>
      <c r="C6" s="8">
        <v>23</v>
      </c>
      <c r="D6" s="8">
        <v>20</v>
      </c>
    </row>
    <row r="7" spans="1:4" ht="15.75" thickBot="1" x14ac:dyDescent="0.3">
      <c r="A7" s="8" t="s">
        <v>36</v>
      </c>
      <c r="B7" s="9">
        <f>1000*C7</f>
        <v>6000</v>
      </c>
      <c r="C7" s="8">
        <v>6</v>
      </c>
      <c r="D7" s="8"/>
    </row>
    <row r="8" spans="1:4" ht="15.75" thickBot="1" x14ac:dyDescent="0.3">
      <c r="A8" s="8" t="s">
        <v>37</v>
      </c>
      <c r="B8" s="9">
        <f>1500*C8</f>
        <v>90000</v>
      </c>
      <c r="C8" s="8">
        <f>10*C7</f>
        <v>60</v>
      </c>
      <c r="D8" s="8"/>
    </row>
    <row r="10" spans="1:4" x14ac:dyDescent="0.25">
      <c r="A10" t="s">
        <v>9</v>
      </c>
      <c r="B10" s="10">
        <f>20*1200+49*1000+539*1500-((400-166)*400+(250-2)*800+(350-226)*500)</f>
        <v>527500</v>
      </c>
    </row>
  </sheetData>
  <mergeCells count="1"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11" sqref="E11"/>
    </sheetView>
  </sheetViews>
  <sheetFormatPr defaultRowHeight="15" x14ac:dyDescent="0.25"/>
  <cols>
    <col min="1" max="1" width="13.7109375" bestFit="1" customWidth="1"/>
    <col min="2" max="2" width="11.140625" bestFit="1" customWidth="1"/>
    <col min="3" max="3" width="9.85546875" bestFit="1" customWidth="1"/>
    <col min="4" max="4" width="9.7109375" bestFit="1" customWidth="1"/>
    <col min="5" max="5" width="8.85546875" bestFit="1" customWidth="1"/>
    <col min="6" max="7" width="11.140625" bestFit="1" customWidth="1"/>
  </cols>
  <sheetData>
    <row r="1" spans="1:4" x14ac:dyDescent="0.25">
      <c r="A1" s="31"/>
      <c r="B1" s="31" t="s">
        <v>41</v>
      </c>
      <c r="C1" s="31" t="s">
        <v>42</v>
      </c>
      <c r="D1" s="31" t="s">
        <v>43</v>
      </c>
    </row>
    <row r="2" spans="1:4" x14ac:dyDescent="0.25">
      <c r="A2" s="31" t="s">
        <v>47</v>
      </c>
      <c r="B2" s="31">
        <v>10</v>
      </c>
      <c r="C2" s="31">
        <v>12</v>
      </c>
      <c r="D2" s="31">
        <v>16</v>
      </c>
    </row>
    <row r="3" spans="1:4" x14ac:dyDescent="0.25">
      <c r="A3" s="31" t="s">
        <v>46</v>
      </c>
      <c r="B3" s="31">
        <f>B6</f>
        <v>10</v>
      </c>
      <c r="C3" s="31">
        <f>B6+B7*2</f>
        <v>12</v>
      </c>
      <c r="D3" s="31">
        <f>B6+B7</f>
        <v>11</v>
      </c>
    </row>
    <row r="5" spans="1:4" x14ac:dyDescent="0.25">
      <c r="A5" s="35" t="s">
        <v>44</v>
      </c>
      <c r="B5" s="31" t="s">
        <v>45</v>
      </c>
    </row>
    <row r="6" spans="1:4" x14ac:dyDescent="0.25">
      <c r="A6" s="32" t="s">
        <v>5</v>
      </c>
      <c r="B6" s="31">
        <v>10</v>
      </c>
      <c r="C6" s="31" t="s">
        <v>9</v>
      </c>
      <c r="D6" s="33">
        <f>B6*3+B7*2</f>
        <v>32</v>
      </c>
    </row>
    <row r="7" spans="1:4" x14ac:dyDescent="0.25">
      <c r="A7" s="32" t="s">
        <v>6</v>
      </c>
      <c r="B7" s="31">
        <v>1</v>
      </c>
      <c r="C7" s="31" t="s">
        <v>48</v>
      </c>
      <c r="D7" s="34">
        <f>D6*66</f>
        <v>2112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2" sqref="F12"/>
    </sheetView>
  </sheetViews>
  <sheetFormatPr defaultRowHeight="15" x14ac:dyDescent="0.25"/>
  <cols>
    <col min="1" max="1" width="15.7109375" bestFit="1" customWidth="1"/>
    <col min="2" max="2" width="7" bestFit="1" customWidth="1"/>
    <col min="3" max="3" width="7.85546875" bestFit="1" customWidth="1"/>
    <col min="4" max="4" width="8.7109375" bestFit="1" customWidth="1"/>
    <col min="5" max="5" width="21.7109375" bestFit="1" customWidth="1"/>
    <col min="6" max="6" width="25.85546875" customWidth="1"/>
  </cols>
  <sheetData>
    <row r="1" spans="1:6" ht="19.5" thickBot="1" x14ac:dyDescent="0.3">
      <c r="A1" s="56" t="s">
        <v>49</v>
      </c>
      <c r="B1" s="58" t="s">
        <v>50</v>
      </c>
      <c r="C1" s="59"/>
      <c r="D1" s="60"/>
      <c r="E1" s="56" t="s">
        <v>51</v>
      </c>
    </row>
    <row r="2" spans="1:6" ht="19.5" thickBot="1" x14ac:dyDescent="0.3">
      <c r="A2" s="57"/>
      <c r="B2" s="11" t="s">
        <v>52</v>
      </c>
      <c r="C2" s="11" t="s">
        <v>53</v>
      </c>
      <c r="D2" s="11" t="s">
        <v>54</v>
      </c>
      <c r="E2" s="61"/>
      <c r="F2" s="15" t="s">
        <v>93</v>
      </c>
    </row>
    <row r="3" spans="1:6" ht="18.75" x14ac:dyDescent="0.25">
      <c r="A3" s="12" t="s">
        <v>55</v>
      </c>
      <c r="B3" s="14">
        <v>1</v>
      </c>
      <c r="C3" s="14">
        <v>1</v>
      </c>
      <c r="D3" s="14">
        <v>1</v>
      </c>
      <c r="E3" s="37">
        <v>860</v>
      </c>
      <c r="F3" s="12">
        <f>B7+C7+D7</f>
        <v>500</v>
      </c>
    </row>
    <row r="4" spans="1:6" ht="18.75" x14ac:dyDescent="0.25">
      <c r="A4" s="12" t="s">
        <v>56</v>
      </c>
      <c r="B4" s="14">
        <v>2</v>
      </c>
      <c r="C4" s="14">
        <v>0</v>
      </c>
      <c r="D4" s="14">
        <v>3</v>
      </c>
      <c r="E4" s="37">
        <v>900</v>
      </c>
      <c r="F4" s="12">
        <f>B4*B7+D4*D7</f>
        <v>900</v>
      </c>
    </row>
    <row r="5" spans="1:6" ht="19.5" thickBot="1" x14ac:dyDescent="0.3">
      <c r="A5" s="13" t="s">
        <v>57</v>
      </c>
      <c r="B5" s="11">
        <v>2</v>
      </c>
      <c r="C5" s="11">
        <v>4</v>
      </c>
      <c r="D5" s="11">
        <v>0</v>
      </c>
      <c r="E5" s="36">
        <v>800</v>
      </c>
      <c r="F5" s="16">
        <f>B5*B7+C5*C7</f>
        <v>800</v>
      </c>
    </row>
    <row r="6" spans="1:6" ht="38.25" thickBot="1" x14ac:dyDescent="0.3">
      <c r="A6" s="13" t="s">
        <v>58</v>
      </c>
      <c r="B6" s="11">
        <v>6</v>
      </c>
      <c r="C6" s="11">
        <v>4</v>
      </c>
      <c r="D6" s="11">
        <v>10</v>
      </c>
      <c r="E6" s="11"/>
    </row>
    <row r="7" spans="1:6" ht="38.25" thickBot="1" x14ac:dyDescent="0.3">
      <c r="A7" s="13" t="s">
        <v>59</v>
      </c>
      <c r="B7" s="11">
        <v>0</v>
      </c>
      <c r="C7" s="11">
        <v>200</v>
      </c>
      <c r="D7" s="11">
        <v>300</v>
      </c>
      <c r="E7" s="11" t="s">
        <v>61</v>
      </c>
    </row>
    <row r="8" spans="1:6" ht="19.5" thickBot="1" x14ac:dyDescent="0.3">
      <c r="A8" s="13" t="s">
        <v>60</v>
      </c>
      <c r="B8" s="11">
        <f>B7*B6</f>
        <v>0</v>
      </c>
      <c r="C8" s="11">
        <f t="shared" ref="C8:D8" si="0">C7*C6</f>
        <v>800</v>
      </c>
      <c r="D8" s="11">
        <f t="shared" si="0"/>
        <v>3000</v>
      </c>
      <c r="E8" s="11">
        <f>SUM(B8:D8)</f>
        <v>3800</v>
      </c>
    </row>
  </sheetData>
  <mergeCells count="3">
    <mergeCell ref="A1:A2"/>
    <mergeCell ref="B1:D1"/>
    <mergeCell ref="E1:E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9" sqref="E9"/>
    </sheetView>
  </sheetViews>
  <sheetFormatPr defaultRowHeight="15" x14ac:dyDescent="0.25"/>
  <cols>
    <col min="1" max="1" width="15.28515625" bestFit="1" customWidth="1"/>
    <col min="2" max="5" width="10.7109375" customWidth="1"/>
    <col min="6" max="6" width="21.140625" bestFit="1" customWidth="1"/>
  </cols>
  <sheetData>
    <row r="1" spans="1:6" ht="16.5" thickBot="1" x14ac:dyDescent="0.3">
      <c r="A1" s="62" t="s">
        <v>62</v>
      </c>
      <c r="B1" s="64" t="s">
        <v>63</v>
      </c>
      <c r="C1" s="65"/>
      <c r="D1" s="66"/>
      <c r="E1" s="62" t="s">
        <v>64</v>
      </c>
    </row>
    <row r="2" spans="1:6" ht="16.5" thickBot="1" x14ac:dyDescent="0.3">
      <c r="A2" s="63"/>
      <c r="B2" s="17" t="s">
        <v>65</v>
      </c>
      <c r="C2" s="17" t="s">
        <v>66</v>
      </c>
      <c r="D2" s="17" t="s">
        <v>67</v>
      </c>
      <c r="E2" s="63"/>
      <c r="F2" s="22" t="s">
        <v>93</v>
      </c>
    </row>
    <row r="3" spans="1:6" ht="15.75" x14ac:dyDescent="0.25">
      <c r="A3" s="18" t="s">
        <v>68</v>
      </c>
      <c r="B3" s="20">
        <v>3</v>
      </c>
      <c r="C3" s="20">
        <v>6</v>
      </c>
      <c r="D3" s="20">
        <v>4</v>
      </c>
      <c r="E3" s="20">
        <v>2000</v>
      </c>
      <c r="F3" s="38">
        <f>B$8*B3+C$8*C3+D$8*D3</f>
        <v>2000</v>
      </c>
    </row>
    <row r="4" spans="1:6" ht="15.75" x14ac:dyDescent="0.25">
      <c r="A4" s="18" t="s">
        <v>69</v>
      </c>
      <c r="B4" s="20">
        <v>20</v>
      </c>
      <c r="C4" s="20">
        <v>15</v>
      </c>
      <c r="D4" s="20">
        <v>20</v>
      </c>
      <c r="E4" s="20">
        <v>15000</v>
      </c>
      <c r="F4" s="38">
        <f>B$8*B4+C$8*C4+D$8*D4</f>
        <v>12600</v>
      </c>
    </row>
    <row r="5" spans="1:6" ht="15.75" x14ac:dyDescent="0.25">
      <c r="A5" s="18" t="s">
        <v>55</v>
      </c>
      <c r="B5" s="20">
        <v>10</v>
      </c>
      <c r="C5" s="20">
        <v>15</v>
      </c>
      <c r="D5" s="20">
        <v>20</v>
      </c>
      <c r="E5" s="20">
        <v>7400</v>
      </c>
      <c r="F5" s="38">
        <f>B$8*B5+C$8*C5+D$8*D5</f>
        <v>7400</v>
      </c>
    </row>
    <row r="6" spans="1:6" ht="16.5" thickBot="1" x14ac:dyDescent="0.3">
      <c r="A6" s="19" t="s">
        <v>56</v>
      </c>
      <c r="B6" s="17">
        <v>0</v>
      </c>
      <c r="C6" s="17">
        <v>3</v>
      </c>
      <c r="D6" s="17">
        <v>5</v>
      </c>
      <c r="E6" s="17">
        <v>1500</v>
      </c>
      <c r="F6" s="23">
        <f>B$8*B6+C$8*C6+D$8*D6</f>
        <v>550</v>
      </c>
    </row>
    <row r="7" spans="1:6" ht="16.5" thickBot="1" x14ac:dyDescent="0.3">
      <c r="A7" s="19" t="s">
        <v>70</v>
      </c>
      <c r="B7" s="17">
        <v>6</v>
      </c>
      <c r="C7" s="17">
        <v>10</v>
      </c>
      <c r="D7" s="17">
        <v>9</v>
      </c>
      <c r="E7" s="21"/>
    </row>
    <row r="8" spans="1:6" ht="16.5" thickBot="1" x14ac:dyDescent="0.3">
      <c r="A8" s="17" t="s">
        <v>95</v>
      </c>
      <c r="B8" s="17">
        <v>520</v>
      </c>
      <c r="C8" s="17">
        <v>0</v>
      </c>
      <c r="D8" s="17">
        <v>110</v>
      </c>
      <c r="E8" s="17"/>
    </row>
    <row r="9" spans="1:6" ht="32.25" thickBot="1" x14ac:dyDescent="0.3">
      <c r="A9" s="17" t="s">
        <v>96</v>
      </c>
      <c r="B9" s="17">
        <f>B8*B7</f>
        <v>3120</v>
      </c>
      <c r="C9" s="17">
        <f>C8*C7</f>
        <v>0</v>
      </c>
      <c r="D9" s="17">
        <f>D8*D7</f>
        <v>990</v>
      </c>
      <c r="E9" s="17">
        <f>SUM(B9:D9)</f>
        <v>4110</v>
      </c>
    </row>
  </sheetData>
  <mergeCells count="3">
    <mergeCell ref="A1:A2"/>
    <mergeCell ref="B1:D1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7"/>
  <sheetViews>
    <sheetView workbookViewId="0">
      <selection activeCell="H7" sqref="H7"/>
    </sheetView>
  </sheetViews>
  <sheetFormatPr defaultRowHeight="15" x14ac:dyDescent="0.25"/>
  <cols>
    <col min="1" max="16384" width="9.140625" style="24"/>
  </cols>
  <sheetData>
    <row r="2" spans="1:12" ht="54.75" customHeight="1" x14ac:dyDescent="0.25">
      <c r="A2" s="67" t="s">
        <v>75</v>
      </c>
      <c r="B2" s="67" t="s">
        <v>74</v>
      </c>
      <c r="C2" s="67" t="s">
        <v>73</v>
      </c>
      <c r="D2" s="67"/>
      <c r="E2" s="67"/>
      <c r="F2" s="67"/>
    </row>
    <row r="3" spans="1:12" ht="18.75" x14ac:dyDescent="0.25">
      <c r="A3" s="67"/>
      <c r="B3" s="67"/>
      <c r="C3" s="29" t="s">
        <v>5</v>
      </c>
      <c r="D3" s="29" t="s">
        <v>6</v>
      </c>
      <c r="E3" s="29" t="s">
        <v>7</v>
      </c>
      <c r="F3" s="29" t="s">
        <v>71</v>
      </c>
    </row>
    <row r="4" spans="1:12" ht="18.75" x14ac:dyDescent="0.25">
      <c r="A4" s="67"/>
      <c r="B4" s="67"/>
      <c r="C4" s="29">
        <v>100</v>
      </c>
      <c r="D4" s="29">
        <v>140</v>
      </c>
      <c r="E4" s="29">
        <v>100</v>
      </c>
      <c r="F4" s="29">
        <v>60</v>
      </c>
    </row>
    <row r="5" spans="1:12" ht="18.75" x14ac:dyDescent="0.25">
      <c r="A5" s="29" t="s">
        <v>5</v>
      </c>
      <c r="B5" s="29">
        <v>100</v>
      </c>
      <c r="C5" s="29">
        <v>5</v>
      </c>
      <c r="D5" s="29">
        <v>4</v>
      </c>
      <c r="E5" s="29">
        <v>3</v>
      </c>
      <c r="F5" s="29">
        <v>2</v>
      </c>
    </row>
    <row r="6" spans="1:12" ht="18.75" x14ac:dyDescent="0.25">
      <c r="A6" s="29" t="s">
        <v>6</v>
      </c>
      <c r="B6" s="29">
        <v>60</v>
      </c>
      <c r="C6" s="29">
        <v>2</v>
      </c>
      <c r="D6" s="29">
        <v>3</v>
      </c>
      <c r="E6" s="29">
        <v>5</v>
      </c>
      <c r="F6" s="29">
        <v>6</v>
      </c>
    </row>
    <row r="7" spans="1:12" ht="18.75" x14ac:dyDescent="0.25">
      <c r="A7" s="29" t="s">
        <v>7</v>
      </c>
      <c r="B7" s="29">
        <v>80</v>
      </c>
      <c r="C7" s="29">
        <v>3</v>
      </c>
      <c r="D7" s="29">
        <v>2</v>
      </c>
      <c r="E7" s="29">
        <v>4</v>
      </c>
      <c r="F7" s="29">
        <v>3</v>
      </c>
      <c r="H7" s="39" t="s">
        <v>72</v>
      </c>
    </row>
    <row r="8" spans="1:12" ht="18.75" x14ac:dyDescent="0.25">
      <c r="A8" s="29" t="s">
        <v>71</v>
      </c>
      <c r="B8" s="29">
        <v>160</v>
      </c>
      <c r="C8" s="29">
        <v>4</v>
      </c>
      <c r="D8" s="29">
        <v>1</v>
      </c>
      <c r="E8" s="29">
        <v>2</v>
      </c>
      <c r="F8" s="29">
        <v>4</v>
      </c>
      <c r="H8" s="39">
        <f>C5*B13+D5*C13+E5*D13+F5*E13+C6*B14+D6*C14+E6*D14+F6*E14+C7*B15+D7*C15+E7*D15+F7*E15+C8*B16+D8*C16+E8*D16+F8*E16</f>
        <v>780</v>
      </c>
    </row>
    <row r="12" spans="1:12" x14ac:dyDescent="0.25">
      <c r="A12" s="25"/>
      <c r="B12" s="25">
        <v>1</v>
      </c>
      <c r="C12" s="25">
        <v>2</v>
      </c>
      <c r="D12" s="25">
        <v>3</v>
      </c>
      <c r="E12" s="25">
        <v>4</v>
      </c>
      <c r="I12" s="28"/>
      <c r="J12" s="28"/>
      <c r="K12" s="28"/>
      <c r="L12" s="28"/>
    </row>
    <row r="13" spans="1:12" x14ac:dyDescent="0.25">
      <c r="A13" s="25">
        <v>1</v>
      </c>
      <c r="B13" s="25">
        <v>0</v>
      </c>
      <c r="C13" s="25">
        <v>0</v>
      </c>
      <c r="D13" s="25">
        <v>40</v>
      </c>
      <c r="E13" s="25">
        <v>60</v>
      </c>
      <c r="F13" s="27">
        <f>SUM(B13:E13)</f>
        <v>100</v>
      </c>
      <c r="G13" s="26"/>
      <c r="I13" s="28"/>
      <c r="J13" s="28"/>
      <c r="K13" s="28"/>
      <c r="L13" s="28"/>
    </row>
    <row r="14" spans="1:12" x14ac:dyDescent="0.25">
      <c r="A14" s="25">
        <v>2</v>
      </c>
      <c r="B14" s="25">
        <v>60</v>
      </c>
      <c r="C14" s="25">
        <v>0</v>
      </c>
      <c r="D14" s="25">
        <v>0</v>
      </c>
      <c r="E14" s="25">
        <v>0</v>
      </c>
      <c r="F14" s="27">
        <f>SUM(B14:E14)</f>
        <v>60</v>
      </c>
      <c r="G14" s="26"/>
    </row>
    <row r="15" spans="1:12" x14ac:dyDescent="0.25">
      <c r="A15" s="25">
        <v>3</v>
      </c>
      <c r="B15" s="25">
        <v>40</v>
      </c>
      <c r="C15" s="25">
        <v>40</v>
      </c>
      <c r="D15" s="25">
        <v>0</v>
      </c>
      <c r="E15" s="25">
        <v>0</v>
      </c>
      <c r="F15" s="27">
        <f>SUM(B15:E15)</f>
        <v>80</v>
      </c>
      <c r="G15" s="26"/>
    </row>
    <row r="16" spans="1:12" x14ac:dyDescent="0.25">
      <c r="A16" s="25">
        <v>4</v>
      </c>
      <c r="B16" s="25">
        <v>0</v>
      </c>
      <c r="C16" s="25">
        <v>100</v>
      </c>
      <c r="D16" s="25">
        <v>60</v>
      </c>
      <c r="E16" s="25">
        <v>0</v>
      </c>
      <c r="F16" s="27">
        <f>SUM(B16:E16)</f>
        <v>160</v>
      </c>
      <c r="G16" s="26"/>
    </row>
    <row r="17" spans="2:5" x14ac:dyDescent="0.25">
      <c r="B17" s="25">
        <f>SUM(B13:B16)</f>
        <v>100</v>
      </c>
      <c r="C17" s="25">
        <f>SUM(C13:C16)</f>
        <v>140</v>
      </c>
      <c r="D17" s="25">
        <f>SUM(D13:D16)</f>
        <v>100</v>
      </c>
      <c r="E17" s="25">
        <f>SUM(E13:E16)</f>
        <v>60</v>
      </c>
    </row>
  </sheetData>
  <mergeCells count="3">
    <mergeCell ref="A2:A4"/>
    <mergeCell ref="B2:B4"/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I4" sqref="I4"/>
    </sheetView>
  </sheetViews>
  <sheetFormatPr defaultRowHeight="15" x14ac:dyDescent="0.25"/>
  <cols>
    <col min="1" max="1" width="14.28515625" style="24" customWidth="1"/>
    <col min="2" max="4" width="9.140625" style="24"/>
    <col min="5" max="5" width="14.7109375" style="24" customWidth="1"/>
    <col min="6" max="6" width="13.85546875" style="24" customWidth="1"/>
    <col min="7" max="16384" width="9.140625" style="24"/>
  </cols>
  <sheetData>
    <row r="1" spans="1:7" x14ac:dyDescent="0.25">
      <c r="A1" s="25"/>
      <c r="B1" s="25" t="s">
        <v>65</v>
      </c>
      <c r="C1" s="25" t="s">
        <v>66</v>
      </c>
      <c r="D1" s="25" t="s">
        <v>67</v>
      </c>
      <c r="E1" s="25" t="s">
        <v>83</v>
      </c>
      <c r="F1" s="25" t="s">
        <v>82</v>
      </c>
    </row>
    <row r="2" spans="1:7" x14ac:dyDescent="0.25">
      <c r="A2" s="25" t="s">
        <v>81</v>
      </c>
      <c r="B2" s="25">
        <v>3</v>
      </c>
      <c r="C2" s="25">
        <v>3.5</v>
      </c>
      <c r="D2" s="25">
        <v>5</v>
      </c>
      <c r="E2" s="25">
        <v>150</v>
      </c>
      <c r="F2" s="25">
        <f>B$7*B2/10+C$7*C2/10+D$7*D2/10</f>
        <v>131.55000000000001</v>
      </c>
      <c r="G2" s="40" t="s">
        <v>80</v>
      </c>
    </row>
    <row r="3" spans="1:7" x14ac:dyDescent="0.25">
      <c r="A3" s="25" t="s">
        <v>79</v>
      </c>
      <c r="B3" s="25">
        <v>4</v>
      </c>
      <c r="C3" s="25">
        <v>5</v>
      </c>
      <c r="D3" s="25">
        <v>8</v>
      </c>
      <c r="E3" s="25">
        <v>200</v>
      </c>
      <c r="F3" s="25">
        <f>B$7*B3/10+C$7*C3/10+D$7*D3/10</f>
        <v>191.5</v>
      </c>
      <c r="G3" s="40">
        <f>B5*B7+C5*C7+D5*D7</f>
        <v>5420</v>
      </c>
    </row>
    <row r="4" spans="1:7" x14ac:dyDescent="0.25">
      <c r="A4" s="25" t="s">
        <v>78</v>
      </c>
      <c r="B4" s="25">
        <v>1</v>
      </c>
      <c r="C4" s="25">
        <v>1.5</v>
      </c>
      <c r="D4" s="25">
        <v>3</v>
      </c>
      <c r="E4" s="25">
        <v>60</v>
      </c>
      <c r="F4" s="25">
        <f>B$7*B4/10+C$7*C4/10+D$7*D4/10</f>
        <v>59.95</v>
      </c>
    </row>
    <row r="5" spans="1:7" x14ac:dyDescent="0.25">
      <c r="A5" s="25" t="s">
        <v>77</v>
      </c>
      <c r="B5" s="25">
        <v>8</v>
      </c>
      <c r="C5" s="25">
        <v>15</v>
      </c>
      <c r="D5" s="25">
        <v>25</v>
      </c>
    </row>
    <row r="6" spans="1:7" x14ac:dyDescent="0.25">
      <c r="A6" s="25" t="s">
        <v>76</v>
      </c>
      <c r="B6" s="25">
        <v>100</v>
      </c>
      <c r="C6" s="25">
        <v>150</v>
      </c>
      <c r="D6" s="25">
        <v>75</v>
      </c>
    </row>
    <row r="7" spans="1:7" x14ac:dyDescent="0.25">
      <c r="A7" s="25"/>
      <c r="B7" s="25">
        <v>100</v>
      </c>
      <c r="C7" s="25">
        <v>183</v>
      </c>
      <c r="D7" s="25">
        <v>75</v>
      </c>
    </row>
    <row r="10" spans="1:7" x14ac:dyDescent="0.25">
      <c r="B10" s="24">
        <f>B7</f>
        <v>100</v>
      </c>
      <c r="C10" s="24">
        <f>C7</f>
        <v>183</v>
      </c>
      <c r="D10" s="24">
        <f>D7</f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5" sqref="D5"/>
    </sheetView>
  </sheetViews>
  <sheetFormatPr defaultRowHeight="15" x14ac:dyDescent="0.25"/>
  <cols>
    <col min="1" max="1" width="16.85546875" style="24" customWidth="1"/>
    <col min="2" max="2" width="18.5703125" style="24" customWidth="1"/>
    <col min="3" max="3" width="13" style="24" customWidth="1"/>
    <col min="4" max="4" width="9.140625" style="24"/>
    <col min="5" max="5" width="13.85546875" style="24" customWidth="1"/>
    <col min="6" max="6" width="12.5703125" style="24" customWidth="1"/>
    <col min="7" max="7" width="12.42578125" style="24" customWidth="1"/>
    <col min="8" max="16384" width="9.140625" style="24"/>
  </cols>
  <sheetData>
    <row r="1" spans="1:9" x14ac:dyDescent="0.25">
      <c r="A1" s="25"/>
      <c r="B1" s="25" t="s">
        <v>92</v>
      </c>
      <c r="C1" s="25" t="s">
        <v>91</v>
      </c>
      <c r="D1" s="25" t="s">
        <v>90</v>
      </c>
      <c r="E1" s="25" t="s">
        <v>82</v>
      </c>
      <c r="F1" s="25" t="s">
        <v>77</v>
      </c>
      <c r="G1" s="25" t="s">
        <v>89</v>
      </c>
      <c r="H1" s="25" t="s">
        <v>88</v>
      </c>
      <c r="I1" s="25"/>
    </row>
    <row r="2" spans="1:9" x14ac:dyDescent="0.25">
      <c r="A2" s="25" t="s">
        <v>87</v>
      </c>
      <c r="B2" s="25">
        <v>1</v>
      </c>
      <c r="C2" s="25">
        <v>1</v>
      </c>
      <c r="D2" s="25">
        <v>3</v>
      </c>
      <c r="E2" s="25">
        <v>10</v>
      </c>
      <c r="F2" s="25">
        <v>16</v>
      </c>
      <c r="G2" s="30">
        <v>20.00000000027887</v>
      </c>
      <c r="H2" s="25">
        <f>C2*G2+C3*G3</f>
        <v>80.000000000278874</v>
      </c>
      <c r="I2" s="25">
        <v>80</v>
      </c>
    </row>
    <row r="3" spans="1:9" x14ac:dyDescent="0.25">
      <c r="A3" s="25" t="s">
        <v>86</v>
      </c>
      <c r="B3" s="25">
        <v>1</v>
      </c>
      <c r="C3" s="25">
        <v>0.05</v>
      </c>
      <c r="D3" s="25">
        <v>0.1</v>
      </c>
      <c r="E3" s="25">
        <v>1200</v>
      </c>
      <c r="F3" s="25">
        <v>0.6</v>
      </c>
      <c r="G3" s="30">
        <v>1200</v>
      </c>
      <c r="H3" s="25">
        <f>G3*D3+G2*D2</f>
        <v>180.00000000083662</v>
      </c>
      <c r="I3" s="25">
        <v>180</v>
      </c>
    </row>
    <row r="4" spans="1:9" x14ac:dyDescent="0.25">
      <c r="A4" s="25" t="s">
        <v>85</v>
      </c>
      <c r="B4" s="25"/>
      <c r="C4" s="25">
        <v>80</v>
      </c>
      <c r="D4" s="25">
        <v>180</v>
      </c>
      <c r="E4" s="25"/>
      <c r="F4" s="25"/>
      <c r="G4" s="25"/>
      <c r="H4" s="25"/>
      <c r="I4" s="25"/>
    </row>
    <row r="6" spans="1:9" x14ac:dyDescent="0.25">
      <c r="A6" s="24" t="s">
        <v>84</v>
      </c>
      <c r="B6" s="40">
        <f>G2*F2+G3*F3</f>
        <v>1040.000000004462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Задача 1</vt:lpstr>
      <vt:lpstr>Задача 2</vt:lpstr>
      <vt:lpstr>Задача 3</vt:lpstr>
      <vt:lpstr>Задача 4</vt:lpstr>
      <vt:lpstr>Задача 5</vt:lpstr>
      <vt:lpstr>Задача 6</vt:lpstr>
      <vt:lpstr>Задача 7</vt:lpstr>
      <vt:lpstr>Задача 8</vt:lpstr>
      <vt:lpstr>Задача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2021-11-06T06:42:14Z</dcterms:modified>
</cp:coreProperties>
</file>