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AF281E1B-64AB-46EC-B0A7-DF477B1B11EF}" xr6:coauthVersionLast="40" xr6:coauthVersionMax="40" xr10:uidLastSave="{00000000-0000-0000-0000-000000000000}"/>
  <bookViews>
    <workbookView xWindow="0" yWindow="0" windowWidth="22260" windowHeight="12645" tabRatio="896" xr2:uid="{00000000-000D-0000-FFFF-FFFF00000000}"/>
  </bookViews>
  <sheets>
    <sheet name="БС 1 вариант" sheetId="1" r:id="rId1"/>
    <sheet name="БС 2 вариант" sheetId="2" r:id="rId2"/>
    <sheet name="ПС 1 вариант" sheetId="3" r:id="rId3"/>
    <sheet name="ПС 2 вариант" sheetId="4" r:id="rId4"/>
    <sheet name="ППлат" sheetId="5" r:id="rId5"/>
    <sheet name="КПер 1 вариант" sheetId="6" r:id="rId6"/>
    <sheet name="КПер 2 вариант" sheetId="7" r:id="rId7"/>
    <sheet name="Ставка 1 вариант" sheetId="8" r:id="rId8"/>
    <sheet name="Ставка 2 вариант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9" l="1"/>
  <c r="B4" i="9"/>
  <c r="B4" i="8"/>
  <c r="B5" i="8"/>
  <c r="B5" i="7"/>
  <c r="B3" i="7"/>
  <c r="B3" i="6"/>
  <c r="B5" i="6"/>
  <c r="B6" i="5"/>
  <c r="B5" i="5"/>
  <c r="B5" i="4"/>
  <c r="B1" i="4" s="1"/>
  <c r="B1" i="3"/>
  <c r="B5" i="3"/>
  <c r="B5" i="2"/>
  <c r="B7" i="2" s="1"/>
  <c r="B7" i="1"/>
  <c r="B5" i="1"/>
</calcChain>
</file>

<file path=xl/sharedStrings.xml><?xml version="1.0" encoding="utf-8"?>
<sst xmlns="http://schemas.openxmlformats.org/spreadsheetml/2006/main" count="63" uniqueCount="7">
  <si>
    <t>Сумма первоначального вклада</t>
  </si>
  <si>
    <t>Дата первоначального вклада</t>
  </si>
  <si>
    <t>Дата возврата вклада</t>
  </si>
  <si>
    <t>Процентная ставка (% годовых)</t>
  </si>
  <si>
    <t>Количество периодов</t>
  </si>
  <si>
    <t>Сумма ежемесячного дополнительного вложения</t>
  </si>
  <si>
    <t>Накопленная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</si>
</sst>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0" fontId="0" fillId="0" borderId="1" xfId="0" applyNumberFormat="1" applyBorder="1"/>
    <xf numFmtId="8" fontId="0" fillId="0" borderId="1" xfId="0" applyNumberFormat="1" applyBorder="1"/>
    <xf numFmtId="164" fontId="0" fillId="0" borderId="1" xfId="0" applyNumberFormat="1" applyBorder="1"/>
    <xf numFmtId="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2" sqref="B12"/>
    </sheetView>
  </sheetViews>
  <sheetFormatPr defaultRowHeight="15" x14ac:dyDescent="0.25"/>
  <cols>
    <col min="1" max="1" width="46.7109375" customWidth="1"/>
    <col min="2" max="2" width="23.28515625" customWidth="1"/>
  </cols>
  <sheetData>
    <row r="1" spans="1:2" ht="16.5" thickTop="1" thickBot="1" x14ac:dyDescent="0.3">
      <c r="A1" s="1" t="s">
        <v>0</v>
      </c>
      <c r="B1" s="6">
        <v>35000</v>
      </c>
    </row>
    <row r="2" spans="1:2" ht="16.5" thickTop="1" thickBot="1" x14ac:dyDescent="0.3">
      <c r="A2" s="1" t="s">
        <v>1</v>
      </c>
      <c r="B2" s="3">
        <v>42917</v>
      </c>
    </row>
    <row r="3" spans="1:2" ht="16.5" thickTop="1" thickBot="1" x14ac:dyDescent="0.3">
      <c r="A3" s="1" t="s">
        <v>2</v>
      </c>
      <c r="B3" s="3">
        <v>43709</v>
      </c>
    </row>
    <row r="4" spans="1:2" ht="16.5" thickTop="1" thickBot="1" x14ac:dyDescent="0.3">
      <c r="A4" s="1" t="s">
        <v>3</v>
      </c>
      <c r="B4" s="4">
        <v>9.5000000000000001E-2</v>
      </c>
    </row>
    <row r="5" spans="1:2" ht="16.5" thickTop="1" thickBot="1" x14ac:dyDescent="0.3">
      <c r="A5" s="1" t="s">
        <v>4</v>
      </c>
      <c r="B5" s="2">
        <f>(DAYS360(B2,B3,1))/30</f>
        <v>26</v>
      </c>
    </row>
    <row r="6" spans="1:2" ht="16.5" thickTop="1" thickBot="1" x14ac:dyDescent="0.3">
      <c r="A6" s="1" t="s">
        <v>5</v>
      </c>
      <c r="B6" s="6">
        <v>65</v>
      </c>
    </row>
    <row r="7" spans="1:2" ht="16.5" thickTop="1" thickBot="1" x14ac:dyDescent="0.3">
      <c r="A7" s="1" t="s">
        <v>6</v>
      </c>
      <c r="B7" s="5">
        <f>FV(B4/12,B5,-B6,-B1,0)</f>
        <v>44832.68989034163</v>
      </c>
    </row>
    <row r="8" spans="1:2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0D79-785C-41AF-8ACB-44B9A6EAD192}">
  <dimension ref="A1:B8"/>
  <sheetViews>
    <sheetView workbookViewId="0">
      <selection activeCell="B7" sqref="B7"/>
    </sheetView>
  </sheetViews>
  <sheetFormatPr defaultRowHeight="15" x14ac:dyDescent="0.25"/>
  <cols>
    <col min="1" max="1" width="48" customWidth="1"/>
    <col min="2" max="2" width="15.7109375" customWidth="1"/>
  </cols>
  <sheetData>
    <row r="1" spans="1:2" ht="16.5" thickTop="1" thickBot="1" x14ac:dyDescent="0.3">
      <c r="A1" s="1" t="s">
        <v>0</v>
      </c>
      <c r="B1" s="6">
        <v>35000</v>
      </c>
    </row>
    <row r="2" spans="1:2" ht="16.5" thickTop="1" thickBot="1" x14ac:dyDescent="0.3">
      <c r="A2" s="1" t="s">
        <v>1</v>
      </c>
      <c r="B2" s="3">
        <v>42917</v>
      </c>
    </row>
    <row r="3" spans="1:2" ht="16.5" thickTop="1" thickBot="1" x14ac:dyDescent="0.3">
      <c r="A3" s="1" t="s">
        <v>2</v>
      </c>
      <c r="B3" s="3">
        <v>43709</v>
      </c>
    </row>
    <row r="4" spans="1:2" ht="16.5" thickTop="1" thickBot="1" x14ac:dyDescent="0.3">
      <c r="A4" s="1" t="s">
        <v>3</v>
      </c>
      <c r="B4" s="4">
        <v>9.5000000000000001E-2</v>
      </c>
    </row>
    <row r="5" spans="1:2" ht="16.5" thickTop="1" thickBot="1" x14ac:dyDescent="0.3">
      <c r="A5" s="1" t="s">
        <v>4</v>
      </c>
      <c r="B5" s="2">
        <f>(DAYS360(B2,B3,1))/30</f>
        <v>26</v>
      </c>
    </row>
    <row r="6" spans="1:2" ht="16.5" thickTop="1" thickBot="1" x14ac:dyDescent="0.3">
      <c r="A6" s="1" t="s">
        <v>5</v>
      </c>
      <c r="B6" s="6">
        <v>0</v>
      </c>
    </row>
    <row r="7" spans="1:2" ht="16.5" thickTop="1" thickBot="1" x14ac:dyDescent="0.3">
      <c r="A7" s="1" t="s">
        <v>6</v>
      </c>
      <c r="B7" s="5">
        <f>FV(B4/12,B5,-B6,-B1,0)</f>
        <v>42964.359046379031</v>
      </c>
    </row>
    <row r="8" spans="1:2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D47E-2DB1-4FD7-B5CD-73919B18DF45}">
  <dimension ref="A1:B8"/>
  <sheetViews>
    <sheetView workbookViewId="0">
      <selection activeCell="A14" sqref="A14"/>
    </sheetView>
  </sheetViews>
  <sheetFormatPr defaultRowHeight="15" x14ac:dyDescent="0.25"/>
  <cols>
    <col min="1" max="1" width="47" customWidth="1"/>
    <col min="2" max="2" width="11.28515625" bestFit="1" customWidth="1"/>
  </cols>
  <sheetData>
    <row r="1" spans="1:2" ht="16.5" thickTop="1" thickBot="1" x14ac:dyDescent="0.3">
      <c r="A1" s="1" t="s">
        <v>0</v>
      </c>
      <c r="B1" s="6">
        <f>PV(B4/12,B5,-B6,B7,0)</f>
        <v>-38310.84800898184</v>
      </c>
    </row>
    <row r="2" spans="1:2" ht="16.5" thickTop="1" thickBot="1" x14ac:dyDescent="0.3">
      <c r="A2" s="1" t="s">
        <v>1</v>
      </c>
      <c r="B2" s="3">
        <v>42979</v>
      </c>
    </row>
    <row r="3" spans="1:2" ht="16.5" thickTop="1" thickBot="1" x14ac:dyDescent="0.3">
      <c r="A3" s="1" t="s">
        <v>2</v>
      </c>
      <c r="B3" s="3">
        <v>43862</v>
      </c>
    </row>
    <row r="4" spans="1:2" ht="16.5" thickTop="1" thickBot="1" x14ac:dyDescent="0.3">
      <c r="A4" s="1" t="s">
        <v>3</v>
      </c>
      <c r="B4" s="7">
        <v>0.09</v>
      </c>
    </row>
    <row r="5" spans="1:2" ht="16.5" thickTop="1" thickBot="1" x14ac:dyDescent="0.3">
      <c r="A5" s="1" t="s">
        <v>4</v>
      </c>
      <c r="B5" s="2">
        <f>(DAYS360(B2,B3,1))/30</f>
        <v>29</v>
      </c>
    </row>
    <row r="6" spans="1:2" ht="16.5" thickTop="1" thickBot="1" x14ac:dyDescent="0.3">
      <c r="A6" s="1" t="s">
        <v>5</v>
      </c>
      <c r="B6" s="6">
        <v>75</v>
      </c>
    </row>
    <row r="7" spans="1:2" ht="16.5" thickTop="1" thickBot="1" x14ac:dyDescent="0.3">
      <c r="A7" s="1" t="s">
        <v>6</v>
      </c>
      <c r="B7" s="6">
        <v>50000</v>
      </c>
    </row>
    <row r="8" spans="1:2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986C-C7DF-4BBA-834A-CF2051F0F3C1}">
  <dimension ref="A1:B8"/>
  <sheetViews>
    <sheetView workbookViewId="0">
      <selection activeCell="G6" sqref="G6"/>
    </sheetView>
  </sheetViews>
  <sheetFormatPr defaultRowHeight="15" x14ac:dyDescent="0.25"/>
  <cols>
    <col min="1" max="1" width="46.85546875" customWidth="1"/>
    <col min="2" max="2" width="12" customWidth="1"/>
  </cols>
  <sheetData>
    <row r="1" spans="1:2" ht="16.5" thickTop="1" thickBot="1" x14ac:dyDescent="0.3">
      <c r="A1" s="1" t="s">
        <v>0</v>
      </c>
      <c r="B1" s="6">
        <f>PV(B4/12,B5,-B6,B7,0)</f>
        <v>-40259.040007484866</v>
      </c>
    </row>
    <row r="2" spans="1:2" ht="16.5" thickTop="1" thickBot="1" x14ac:dyDescent="0.3">
      <c r="A2" s="1" t="s">
        <v>1</v>
      </c>
      <c r="B2" s="3">
        <v>42979</v>
      </c>
    </row>
    <row r="3" spans="1:2" ht="16.5" thickTop="1" thickBot="1" x14ac:dyDescent="0.3">
      <c r="A3" s="1" t="s">
        <v>2</v>
      </c>
      <c r="B3" s="3">
        <v>43862</v>
      </c>
    </row>
    <row r="4" spans="1:2" ht="16.5" thickTop="1" thickBot="1" x14ac:dyDescent="0.3">
      <c r="A4" s="1" t="s">
        <v>3</v>
      </c>
      <c r="B4" s="7">
        <v>0.09</v>
      </c>
    </row>
    <row r="5" spans="1:2" ht="16.5" thickTop="1" thickBot="1" x14ac:dyDescent="0.3">
      <c r="A5" s="1" t="s">
        <v>4</v>
      </c>
      <c r="B5" s="2">
        <f>(DAYS360(B2,B3,1))/30</f>
        <v>29</v>
      </c>
    </row>
    <row r="6" spans="1:2" ht="16.5" thickTop="1" thickBot="1" x14ac:dyDescent="0.3">
      <c r="A6" s="1" t="s">
        <v>5</v>
      </c>
      <c r="B6" s="6">
        <v>0</v>
      </c>
    </row>
    <row r="7" spans="1:2" ht="16.5" thickTop="1" thickBot="1" x14ac:dyDescent="0.3">
      <c r="A7" s="1" t="s">
        <v>6</v>
      </c>
      <c r="B7" s="6">
        <v>50000</v>
      </c>
    </row>
    <row r="8" spans="1:2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5CA2-83A4-44F6-9799-BC1300475468}">
  <dimension ref="A1:B8"/>
  <sheetViews>
    <sheetView workbookViewId="0">
      <selection activeCell="B7" sqref="B7"/>
    </sheetView>
  </sheetViews>
  <sheetFormatPr defaultRowHeight="15" x14ac:dyDescent="0.25"/>
  <cols>
    <col min="1" max="1" width="47.28515625" customWidth="1"/>
    <col min="2" max="2" width="12.85546875" customWidth="1"/>
  </cols>
  <sheetData>
    <row r="1" spans="1:2" ht="16.5" thickTop="1" thickBot="1" x14ac:dyDescent="0.3">
      <c r="A1" s="1" t="s">
        <v>0</v>
      </c>
      <c r="B1" s="6">
        <v>36000</v>
      </c>
    </row>
    <row r="2" spans="1:2" ht="16.5" thickTop="1" thickBot="1" x14ac:dyDescent="0.3">
      <c r="A2" s="1" t="s">
        <v>1</v>
      </c>
      <c r="B2" s="3">
        <v>42826</v>
      </c>
    </row>
    <row r="3" spans="1:2" ht="16.5" thickTop="1" thickBot="1" x14ac:dyDescent="0.3">
      <c r="A3" s="1" t="s">
        <v>2</v>
      </c>
      <c r="B3" s="3">
        <v>44013</v>
      </c>
    </row>
    <row r="4" spans="1:2" ht="16.5" thickTop="1" thickBot="1" x14ac:dyDescent="0.3">
      <c r="A4" s="1" t="s">
        <v>3</v>
      </c>
      <c r="B4" s="4">
        <v>8.5000000000000006E-2</v>
      </c>
    </row>
    <row r="5" spans="1:2" ht="16.5" thickTop="1" thickBot="1" x14ac:dyDescent="0.3">
      <c r="A5" s="1" t="s">
        <v>4</v>
      </c>
      <c r="B5" s="2">
        <f>(DAYS360(B2,B3,1))/30</f>
        <v>39</v>
      </c>
    </row>
    <row r="6" spans="1:2" ht="16.5" thickTop="1" thickBot="1" x14ac:dyDescent="0.3">
      <c r="A6" s="1" t="s">
        <v>5</v>
      </c>
      <c r="B6" s="6">
        <f>PMT(B4/12,B5,-B1,B7)</f>
        <v>-102.63757908578097</v>
      </c>
    </row>
    <row r="7" spans="1:2" ht="16.5" thickTop="1" thickBot="1" x14ac:dyDescent="0.3">
      <c r="A7" s="1" t="s">
        <v>6</v>
      </c>
      <c r="B7" s="6">
        <v>52000</v>
      </c>
    </row>
    <row r="8" spans="1:2" ht="15.75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3D64-01C7-47BE-B0F0-3B02D65FA88A}">
  <dimension ref="A1:B8"/>
  <sheetViews>
    <sheetView workbookViewId="0">
      <selection activeCell="D12" sqref="D12"/>
    </sheetView>
  </sheetViews>
  <sheetFormatPr defaultRowHeight="15" x14ac:dyDescent="0.25"/>
  <cols>
    <col min="1" max="1" width="46.85546875" customWidth="1"/>
    <col min="2" max="2" width="16.140625" customWidth="1"/>
  </cols>
  <sheetData>
    <row r="1" spans="1:2" ht="16.5" thickTop="1" thickBot="1" x14ac:dyDescent="0.3">
      <c r="A1" s="1" t="s">
        <v>0</v>
      </c>
      <c r="B1" s="6">
        <v>30000</v>
      </c>
    </row>
    <row r="2" spans="1:2" ht="16.5" thickTop="1" thickBot="1" x14ac:dyDescent="0.3">
      <c r="A2" s="1" t="s">
        <v>1</v>
      </c>
      <c r="B2" s="3">
        <v>42948</v>
      </c>
    </row>
    <row r="3" spans="1:2" ht="16.5" thickTop="1" thickBot="1" x14ac:dyDescent="0.3">
      <c r="A3" s="1" t="s">
        <v>2</v>
      </c>
      <c r="B3" s="3">
        <f>EDATE(B2,B5)</f>
        <v>45627</v>
      </c>
    </row>
    <row r="4" spans="1:2" ht="16.5" thickTop="1" thickBot="1" x14ac:dyDescent="0.3">
      <c r="A4" s="1" t="s">
        <v>3</v>
      </c>
      <c r="B4" s="7">
        <v>0.11</v>
      </c>
    </row>
    <row r="5" spans="1:2" ht="16.5" thickTop="1" thickBot="1" x14ac:dyDescent="0.3">
      <c r="A5" s="1" t="s">
        <v>4</v>
      </c>
      <c r="B5" s="2">
        <f>ROUNDUP(NPER(B4/12,B6,B1,-B7),0)</f>
        <v>88</v>
      </c>
    </row>
    <row r="6" spans="1:2" ht="16.5" thickTop="1" thickBot="1" x14ac:dyDescent="0.3">
      <c r="A6" s="1" t="s">
        <v>5</v>
      </c>
      <c r="B6" s="6">
        <v>100</v>
      </c>
    </row>
    <row r="7" spans="1:2" ht="16.5" thickTop="1" thickBot="1" x14ac:dyDescent="0.3">
      <c r="A7" s="1" t="s">
        <v>6</v>
      </c>
      <c r="B7" s="6">
        <v>80000</v>
      </c>
    </row>
    <row r="8" spans="1:2" ht="15.75" thickTop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C54F-E4C1-4F0B-8DDB-F52D3F28AB11}">
  <dimension ref="A1:B8"/>
  <sheetViews>
    <sheetView workbookViewId="0">
      <selection activeCell="G18" sqref="G18"/>
    </sheetView>
  </sheetViews>
  <sheetFormatPr defaultRowHeight="15" x14ac:dyDescent="0.25"/>
  <cols>
    <col min="1" max="1" width="46.85546875" customWidth="1"/>
    <col min="2" max="2" width="12.28515625" customWidth="1"/>
  </cols>
  <sheetData>
    <row r="1" spans="1:2" ht="16.5" thickTop="1" thickBot="1" x14ac:dyDescent="0.3">
      <c r="A1" s="1" t="s">
        <v>0</v>
      </c>
      <c r="B1" s="6">
        <v>30000</v>
      </c>
    </row>
    <row r="2" spans="1:2" ht="16.5" thickTop="1" thickBot="1" x14ac:dyDescent="0.3">
      <c r="A2" s="1" t="s">
        <v>1</v>
      </c>
      <c r="B2" s="3">
        <v>42948</v>
      </c>
    </row>
    <row r="3" spans="1:2" ht="16.5" thickTop="1" thickBot="1" x14ac:dyDescent="0.3">
      <c r="A3" s="1" t="s">
        <v>2</v>
      </c>
      <c r="B3" s="3">
        <f>EDATE(B2,B5)</f>
        <v>46235</v>
      </c>
    </row>
    <row r="4" spans="1:2" ht="16.5" thickTop="1" thickBot="1" x14ac:dyDescent="0.3">
      <c r="A4" s="1" t="s">
        <v>3</v>
      </c>
      <c r="B4" s="7">
        <v>0.11</v>
      </c>
    </row>
    <row r="5" spans="1:2" ht="16.5" thickTop="1" thickBot="1" x14ac:dyDescent="0.3">
      <c r="A5" s="1" t="s">
        <v>4</v>
      </c>
      <c r="B5" s="2">
        <f>ROUNDUP(NPER(B4/12,B6,B1,-B7),0)</f>
        <v>108</v>
      </c>
    </row>
    <row r="6" spans="1:2" ht="16.5" thickTop="1" thickBot="1" x14ac:dyDescent="0.3">
      <c r="A6" s="1" t="s">
        <v>5</v>
      </c>
      <c r="B6" s="6">
        <v>0</v>
      </c>
    </row>
    <row r="7" spans="1:2" ht="16.5" thickTop="1" thickBot="1" x14ac:dyDescent="0.3">
      <c r="A7" s="1" t="s">
        <v>6</v>
      </c>
      <c r="B7" s="6">
        <v>80000</v>
      </c>
    </row>
    <row r="8" spans="1:2" ht="15.75" thickTop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E0E4-B1C1-474B-B2F6-B2FEC3F0B06C}">
  <dimension ref="A1:B8"/>
  <sheetViews>
    <sheetView workbookViewId="0">
      <selection activeCell="B18" sqref="B18"/>
    </sheetView>
  </sheetViews>
  <sheetFormatPr defaultRowHeight="15" x14ac:dyDescent="0.25"/>
  <cols>
    <col min="1" max="1" width="46.85546875" customWidth="1"/>
    <col min="2" max="2" width="14.85546875" customWidth="1"/>
  </cols>
  <sheetData>
    <row r="1" spans="1:2" ht="16.5" thickTop="1" thickBot="1" x14ac:dyDescent="0.3">
      <c r="A1" s="1" t="s">
        <v>0</v>
      </c>
      <c r="B1" s="6">
        <v>40000</v>
      </c>
    </row>
    <row r="2" spans="1:2" ht="16.5" thickTop="1" thickBot="1" x14ac:dyDescent="0.3">
      <c r="A2" s="1" t="s">
        <v>1</v>
      </c>
      <c r="B2" s="3">
        <v>36526</v>
      </c>
    </row>
    <row r="3" spans="1:2" ht="16.5" thickTop="1" thickBot="1" x14ac:dyDescent="0.3">
      <c r="A3" s="1" t="s">
        <v>2</v>
      </c>
      <c r="B3" s="3">
        <v>37987</v>
      </c>
    </row>
    <row r="4" spans="1:2" ht="16.5" thickTop="1" thickBot="1" x14ac:dyDescent="0.3">
      <c r="A4" s="1" t="s">
        <v>3</v>
      </c>
      <c r="B4" s="7">
        <f>RATE(B5,B6,B1,-B7,0)*12</f>
        <v>0.14923516389485017</v>
      </c>
    </row>
    <row r="5" spans="1:2" ht="16.5" thickTop="1" thickBot="1" x14ac:dyDescent="0.3">
      <c r="A5" s="1" t="s">
        <v>4</v>
      </c>
      <c r="B5" s="2">
        <f>(DAYS360(B2,B3,1))/30</f>
        <v>48</v>
      </c>
    </row>
    <row r="6" spans="1:2" ht="16.5" thickTop="1" thickBot="1" x14ac:dyDescent="0.3">
      <c r="A6" s="1" t="s">
        <v>5</v>
      </c>
      <c r="B6" s="6">
        <v>40</v>
      </c>
    </row>
    <row r="7" spans="1:2" ht="16.5" thickTop="1" thickBot="1" x14ac:dyDescent="0.3">
      <c r="A7" s="1" t="s">
        <v>6</v>
      </c>
      <c r="B7" s="6">
        <v>75000</v>
      </c>
    </row>
    <row r="8" spans="1:2" ht="15.75" thickTop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2FAE-56B8-40B7-8C22-3CF840ED121A}">
  <dimension ref="A1:B8"/>
  <sheetViews>
    <sheetView workbookViewId="0">
      <selection activeCell="F9" sqref="F9"/>
    </sheetView>
  </sheetViews>
  <sheetFormatPr defaultRowHeight="15" x14ac:dyDescent="0.25"/>
  <cols>
    <col min="1" max="1" width="47" customWidth="1"/>
    <col min="2" max="2" width="13.5703125" customWidth="1"/>
  </cols>
  <sheetData>
    <row r="1" spans="1:2" ht="16.5" thickTop="1" thickBot="1" x14ac:dyDescent="0.3">
      <c r="A1" s="1" t="s">
        <v>0</v>
      </c>
      <c r="B1" s="6">
        <v>40000</v>
      </c>
    </row>
    <row r="2" spans="1:2" ht="16.5" thickTop="1" thickBot="1" x14ac:dyDescent="0.3">
      <c r="A2" s="1" t="s">
        <v>1</v>
      </c>
      <c r="B2" s="3">
        <v>36526</v>
      </c>
    </row>
    <row r="3" spans="1:2" ht="16.5" thickTop="1" thickBot="1" x14ac:dyDescent="0.3">
      <c r="A3" s="1" t="s">
        <v>2</v>
      </c>
      <c r="B3" s="3">
        <v>37987</v>
      </c>
    </row>
    <row r="4" spans="1:2" ht="16.5" thickTop="1" thickBot="1" x14ac:dyDescent="0.3">
      <c r="A4" s="1" t="s">
        <v>3</v>
      </c>
      <c r="B4" s="7">
        <f>RATE(B5,B6,B1,-B7,0)*12</f>
        <v>0.15818570513498384</v>
      </c>
    </row>
    <row r="5" spans="1:2" ht="16.5" thickTop="1" thickBot="1" x14ac:dyDescent="0.3">
      <c r="A5" s="1" t="s">
        <v>4</v>
      </c>
      <c r="B5" s="2">
        <f>(DAYS360(B2,B3,1))/30</f>
        <v>48</v>
      </c>
    </row>
    <row r="6" spans="1:2" ht="16.5" thickTop="1" thickBot="1" x14ac:dyDescent="0.3">
      <c r="A6" s="1" t="s">
        <v>5</v>
      </c>
      <c r="B6" s="6">
        <v>0</v>
      </c>
    </row>
    <row r="7" spans="1:2" ht="16.5" thickTop="1" thickBot="1" x14ac:dyDescent="0.3">
      <c r="A7" s="1" t="s">
        <v>6</v>
      </c>
      <c r="B7" s="6">
        <v>75000</v>
      </c>
    </row>
    <row r="8" spans="1:2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БС 1 вариант</vt:lpstr>
      <vt:lpstr>БС 2 вариант</vt:lpstr>
      <vt:lpstr>ПС 1 вариант</vt:lpstr>
      <vt:lpstr>ПС 2 вариант</vt:lpstr>
      <vt:lpstr>ППлат</vt:lpstr>
      <vt:lpstr>КПер 1 вариант</vt:lpstr>
      <vt:lpstr>КПер 2 вариант</vt:lpstr>
      <vt:lpstr>Ставка 1 вариант</vt:lpstr>
      <vt:lpstr>Ставка 2 вариант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2018-12-19T08:28:20Z</dcterms:modified>
</cp:coreProperties>
</file>