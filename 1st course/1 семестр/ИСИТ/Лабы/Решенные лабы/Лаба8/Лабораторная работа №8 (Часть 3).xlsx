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126"/>
  <workbookPr filterPrivacy="1"/>
  <xr:revisionPtr revIDLastSave="0" documentId="13_ncr:1_{FAA3CA58-419E-4126-9D4F-929164235B1C}" xr6:coauthVersionLast="40" xr6:coauthVersionMax="40" xr10:uidLastSave="{00000000-0000-0000-0000-000000000000}"/>
  <bookViews>
    <workbookView xWindow="0" yWindow="0" windowWidth="22260" windowHeight="12645" xr2:uid="{00000000-000D-0000-FFFF-FFFF00000000}"/>
  </bookViews>
  <sheets>
    <sheet name="Итоги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" i="1" l="1"/>
  <c r="J6" i="1"/>
  <c r="I7" i="1"/>
  <c r="I6" i="1"/>
  <c r="H7" i="1" l="1"/>
  <c r="H5" i="1" s="1"/>
  <c r="G7" i="1"/>
  <c r="G5" i="1"/>
  <c r="F7" i="1"/>
  <c r="F8" i="1" s="1"/>
  <c r="E7" i="1"/>
  <c r="E3" i="1" s="1"/>
  <c r="D7" i="1"/>
  <c r="D3" i="1"/>
  <c r="C7" i="1"/>
  <c r="C9" i="1" s="1"/>
  <c r="B7" i="1"/>
  <c r="B9" i="1" s="1"/>
</calcChain>
</file>

<file path=xl/sharedStrings.xml><?xml version="1.0" encoding="utf-8"?>
<sst xmlns="http://schemas.openxmlformats.org/spreadsheetml/2006/main" count="21" uniqueCount="15">
  <si>
    <t>БС</t>
  </si>
  <si>
    <t>ПС</t>
  </si>
  <si>
    <t>ППлат</t>
  </si>
  <si>
    <t>КПер</t>
  </si>
  <si>
    <t>Ставка</t>
  </si>
  <si>
    <t>1 вар</t>
  </si>
  <si>
    <t>2 вар</t>
  </si>
  <si>
    <t>Сумма первоначального вклада</t>
  </si>
  <si>
    <t>Дата первоначального вклада</t>
  </si>
  <si>
    <t>Дата возврата вклада</t>
  </si>
  <si>
    <t>Процентная ставка (% годовых)</t>
  </si>
  <si>
    <t>Количество периодов</t>
  </si>
  <si>
    <t>Сумма ежемесячного дополнительного вложения</t>
  </si>
  <si>
    <t>Накопленная сумма</t>
  </si>
  <si>
    <t>Общая таблица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</si>
</sst>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₽&quot;;[Red]\-#,##0.00\ &quot;₽&quot;"/>
    <numFmt numFmtId="168" formatCode="#,##0.00\ &quot;₽&quot;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8" fontId="1" fillId="0" borderId="1" xfId="0" applyNumberFormat="1" applyFon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0" fontId="1" fillId="0" borderId="1" xfId="0" applyNumberFormat="1" applyFont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8" fontId="1" fillId="0" borderId="1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E15" sqref="E15"/>
    </sheetView>
  </sheetViews>
  <sheetFormatPr defaultRowHeight="15" x14ac:dyDescent="0.25"/>
  <cols>
    <col min="1" max="1" width="50.5703125" customWidth="1"/>
    <col min="2" max="2" width="16.140625" customWidth="1"/>
    <col min="3" max="3" width="17" customWidth="1"/>
    <col min="4" max="4" width="13.7109375" customWidth="1"/>
    <col min="5" max="5" width="13.140625" customWidth="1"/>
    <col min="6" max="6" width="11.85546875" customWidth="1"/>
    <col min="7" max="7" width="12.5703125" customWidth="1"/>
    <col min="8" max="8" width="11.140625" customWidth="1"/>
    <col min="9" max="9" width="12.28515625" customWidth="1"/>
    <col min="10" max="10" width="11.42578125" customWidth="1"/>
  </cols>
  <sheetData>
    <row r="1" spans="1:10" ht="16.5" thickTop="1" thickBot="1" x14ac:dyDescent="0.3">
      <c r="A1" s="1" t="s">
        <v>14</v>
      </c>
      <c r="B1" s="1" t="s">
        <v>0</v>
      </c>
      <c r="C1" s="1"/>
      <c r="D1" s="1" t="s">
        <v>1</v>
      </c>
      <c r="E1" s="1"/>
      <c r="F1" s="2" t="s">
        <v>2</v>
      </c>
      <c r="G1" s="1" t="s">
        <v>3</v>
      </c>
      <c r="H1" s="1"/>
      <c r="I1" s="1" t="s">
        <v>4</v>
      </c>
      <c r="J1" s="1"/>
    </row>
    <row r="2" spans="1:10" ht="16.5" thickTop="1" thickBot="1" x14ac:dyDescent="0.3">
      <c r="A2" s="1"/>
      <c r="B2" s="2" t="s">
        <v>5</v>
      </c>
      <c r="C2" s="2" t="s">
        <v>6</v>
      </c>
      <c r="D2" s="2" t="s">
        <v>5</v>
      </c>
      <c r="E2" s="2" t="s">
        <v>6</v>
      </c>
      <c r="F2" s="2"/>
      <c r="G2" s="2" t="s">
        <v>5</v>
      </c>
      <c r="H2" s="2" t="s">
        <v>6</v>
      </c>
      <c r="I2" s="2" t="s">
        <v>5</v>
      </c>
      <c r="J2" s="2" t="s">
        <v>6</v>
      </c>
    </row>
    <row r="3" spans="1:10" ht="17.25" customHeight="1" thickTop="1" thickBot="1" x14ac:dyDescent="0.3">
      <c r="A3" s="2" t="s">
        <v>7</v>
      </c>
      <c r="B3" s="3">
        <v>35000</v>
      </c>
      <c r="C3" s="3">
        <v>35000</v>
      </c>
      <c r="D3" s="3">
        <f>PV(D6/12,D7,-D8,D9,0)</f>
        <v>-38310.84800898184</v>
      </c>
      <c r="E3" s="3">
        <f>PV(E6/12,E7,-E8,E9,0)</f>
        <v>-40259.040007484866</v>
      </c>
      <c r="F3" s="3">
        <v>36000</v>
      </c>
      <c r="G3" s="4">
        <v>30000</v>
      </c>
      <c r="H3" s="4">
        <v>30000</v>
      </c>
      <c r="I3" s="4">
        <v>40000</v>
      </c>
      <c r="J3" s="4">
        <v>40000</v>
      </c>
    </row>
    <row r="4" spans="1:10" ht="15" customHeight="1" thickTop="1" thickBot="1" x14ac:dyDescent="0.3">
      <c r="A4" s="2" t="s">
        <v>8</v>
      </c>
      <c r="B4" s="5">
        <v>42917</v>
      </c>
      <c r="C4" s="5">
        <v>42917</v>
      </c>
      <c r="D4" s="5">
        <v>42979</v>
      </c>
      <c r="E4" s="5">
        <v>42979</v>
      </c>
      <c r="F4" s="5">
        <v>42826</v>
      </c>
      <c r="G4" s="6">
        <v>42948</v>
      </c>
      <c r="H4" s="6">
        <v>42948</v>
      </c>
      <c r="I4" s="6">
        <v>36526</v>
      </c>
      <c r="J4" s="6">
        <v>36526</v>
      </c>
    </row>
    <row r="5" spans="1:10" ht="14.25" customHeight="1" thickTop="1" thickBot="1" x14ac:dyDescent="0.3">
      <c r="A5" s="2" t="s">
        <v>9</v>
      </c>
      <c r="B5" s="5">
        <v>43709</v>
      </c>
      <c r="C5" s="5">
        <v>43709</v>
      </c>
      <c r="D5" s="5">
        <v>43862</v>
      </c>
      <c r="E5" s="5">
        <v>43862</v>
      </c>
      <c r="F5" s="5">
        <v>44013</v>
      </c>
      <c r="G5" s="6">
        <f>EDATE(G4,G7)</f>
        <v>45627</v>
      </c>
      <c r="H5" s="6">
        <f>EDATE(H4,H7)</f>
        <v>46235</v>
      </c>
      <c r="I5" s="6">
        <v>37987</v>
      </c>
      <c r="J5" s="6">
        <v>37987</v>
      </c>
    </row>
    <row r="6" spans="1:10" ht="15" customHeight="1" thickTop="1" thickBot="1" x14ac:dyDescent="0.3">
      <c r="A6" s="2" t="s">
        <v>10</v>
      </c>
      <c r="B6" s="7">
        <v>9.5000000000000001E-2</v>
      </c>
      <c r="C6" s="7">
        <v>9.5000000000000001E-2</v>
      </c>
      <c r="D6" s="8">
        <v>0.09</v>
      </c>
      <c r="E6" s="8">
        <v>0.09</v>
      </c>
      <c r="F6" s="7">
        <v>8.5000000000000006E-2</v>
      </c>
      <c r="G6" s="9">
        <v>0.11</v>
      </c>
      <c r="H6" s="9">
        <v>0.11</v>
      </c>
      <c r="I6" s="9">
        <f>RATE(I7,I8,I3,-I9,0)*12</f>
        <v>0.14923516389485017</v>
      </c>
      <c r="J6" s="9">
        <f>RATE(J7,J8,J3,-J9,0)*12</f>
        <v>0.15818570513498384</v>
      </c>
    </row>
    <row r="7" spans="1:10" ht="13.5" customHeight="1" thickTop="1" thickBot="1" x14ac:dyDescent="0.3">
      <c r="A7" s="2" t="s">
        <v>11</v>
      </c>
      <c r="B7" s="10">
        <f>(DAYS360(B4,B5,1))/30</f>
        <v>26</v>
      </c>
      <c r="C7" s="10">
        <f>(DAYS360(C4,C5,1))/30</f>
        <v>26</v>
      </c>
      <c r="D7" s="10">
        <f>(DAYS360(D4,D5,1))/30</f>
        <v>29</v>
      </c>
      <c r="E7" s="10">
        <f>(DAYS360(E4,E5,1))/30</f>
        <v>29</v>
      </c>
      <c r="F7" s="10">
        <f>(DAYS360(F4,F5,1))/30</f>
        <v>39</v>
      </c>
      <c r="G7" s="11">
        <f>ROUNDUP(NPER(G6/12,G8,G3,-G9),0)</f>
        <v>88</v>
      </c>
      <c r="H7" s="11">
        <f>ROUNDUP(NPER(H6/12,H8,H3,-H9),0)</f>
        <v>108</v>
      </c>
      <c r="I7" s="11">
        <f>(DAYS360(I4,I5,1))/30</f>
        <v>48</v>
      </c>
      <c r="J7" s="11">
        <f>(DAYS360(J4,J5,1))/30</f>
        <v>48</v>
      </c>
    </row>
    <row r="8" spans="1:10" ht="15.75" customHeight="1" thickTop="1" thickBot="1" x14ac:dyDescent="0.3">
      <c r="A8" s="2" t="s">
        <v>12</v>
      </c>
      <c r="B8" s="3">
        <v>65</v>
      </c>
      <c r="C8" s="3">
        <v>0</v>
      </c>
      <c r="D8" s="3">
        <v>75</v>
      </c>
      <c r="E8" s="3">
        <v>0</v>
      </c>
      <c r="F8" s="3">
        <f>PMT(F6/12,F7,-F3,F9)</f>
        <v>-102.63757908578097</v>
      </c>
      <c r="G8" s="4">
        <v>100</v>
      </c>
      <c r="H8" s="4">
        <v>0</v>
      </c>
      <c r="I8" s="4">
        <v>40</v>
      </c>
      <c r="J8" s="4">
        <v>0</v>
      </c>
    </row>
    <row r="9" spans="1:10" ht="16.5" thickTop="1" thickBot="1" x14ac:dyDescent="0.3">
      <c r="A9" s="2" t="s">
        <v>13</v>
      </c>
      <c r="B9" s="12">
        <f>FV(B6/12,B7,-B8,-B3,0)</f>
        <v>44832.68989034163</v>
      </c>
      <c r="C9" s="12">
        <f>FV(C6/12,C7,-C8,-C3,0)</f>
        <v>42964.359046379031</v>
      </c>
      <c r="D9" s="3">
        <v>50000</v>
      </c>
      <c r="E9" s="3">
        <v>50000</v>
      </c>
      <c r="F9" s="3">
        <v>52000</v>
      </c>
      <c r="G9" s="4">
        <v>80000</v>
      </c>
      <c r="H9" s="4">
        <v>80000</v>
      </c>
      <c r="I9" s="4">
        <v>75000</v>
      </c>
      <c r="J9" s="4">
        <v>75000</v>
      </c>
    </row>
    <row r="10" spans="1:10" ht="15.75" thickTop="1" x14ac:dyDescent="0.25"/>
  </sheetData>
  <mergeCells count="5">
    <mergeCell ref="A1:A2"/>
    <mergeCell ref="B1:C1"/>
    <mergeCell ref="D1:E1"/>
    <mergeCell ref="G1:H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Итоги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2018-12-17T22:17:49Z</dcterms:modified>
</cp:coreProperties>
</file>