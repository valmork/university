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20B18ECA-4B5A-4B13-ABAF-920297C7B9DA}" xr6:coauthVersionLast="40" xr6:coauthVersionMax="40" xr10:uidLastSave="{00000000-0000-0000-0000-000000000000}"/>
  <bookViews>
    <workbookView xWindow="0" yWindow="0" windowWidth="22260" windowHeight="12645" activeTab="1" xr2:uid="{00000000-000D-0000-FFFF-FFFF00000000}"/>
  </bookViews>
  <sheets>
    <sheet name="Аннуитентные платежи" sheetId="1" r:id="rId1"/>
    <sheet name="Дифференцированные платежи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/>
  <c r="G9" i="2"/>
  <c r="G8" i="2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3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4" i="2"/>
  <c r="D3" i="2"/>
  <c r="B4" i="2"/>
  <c r="C4" i="1"/>
  <c r="B5" i="1"/>
  <c r="B4" i="1"/>
  <c r="C3" i="1"/>
  <c r="D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3" i="1"/>
  <c r="D3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5" i="1"/>
  <c r="A4" i="1"/>
  <c r="D4" i="2" l="1"/>
  <c r="B5" i="2" s="1"/>
  <c r="D5" i="1"/>
  <c r="C5" i="1" s="1"/>
  <c r="B6" i="1" s="1"/>
  <c r="D5" i="2" l="1"/>
  <c r="B6" i="2" s="1"/>
  <c r="D6" i="1"/>
  <c r="C6" i="1" s="1"/>
  <c r="B7" i="1" s="1"/>
  <c r="D6" i="2" l="1"/>
  <c r="B7" i="2" s="1"/>
  <c r="D7" i="1"/>
  <c r="C7" i="1" s="1"/>
  <c r="B8" i="1" s="1"/>
  <c r="D7" i="2" l="1"/>
  <c r="B8" i="2" s="1"/>
  <c r="D8" i="1"/>
  <c r="C8" i="1" s="1"/>
  <c r="B9" i="1" s="1"/>
  <c r="D8" i="2" l="1"/>
  <c r="B9" i="2" s="1"/>
  <c r="D9" i="1"/>
  <c r="C9" i="1" s="1"/>
  <c r="B10" i="1" s="1"/>
  <c r="D9" i="2" l="1"/>
  <c r="B10" i="2"/>
  <c r="D10" i="1"/>
  <c r="C10" i="1" s="1"/>
  <c r="B11" i="1" s="1"/>
  <c r="D10" i="2" l="1"/>
  <c r="B11" i="2" s="1"/>
  <c r="D11" i="1"/>
  <c r="C11" i="1" s="1"/>
  <c r="B12" i="1" s="1"/>
  <c r="D11" i="2" l="1"/>
  <c r="B12" i="2"/>
  <c r="D12" i="1"/>
  <c r="C12" i="1" s="1"/>
  <c r="B13" i="1" s="1"/>
  <c r="D12" i="2" l="1"/>
  <c r="B13" i="2" s="1"/>
  <c r="D13" i="1"/>
  <c r="C13" i="1" s="1"/>
  <c r="B14" i="1" s="1"/>
  <c r="D13" i="2" l="1"/>
  <c r="B14" i="2"/>
  <c r="D14" i="1"/>
  <c r="C14" i="1" s="1"/>
  <c r="B15" i="1" s="1"/>
  <c r="D14" i="2" l="1"/>
  <c r="B15" i="2" s="1"/>
  <c r="D15" i="1"/>
  <c r="C15" i="1" s="1"/>
  <c r="B16" i="1" s="1"/>
  <c r="D15" i="2" l="1"/>
  <c r="B16" i="2"/>
  <c r="D16" i="1"/>
  <c r="C16" i="1" s="1"/>
  <c r="B17" i="1" s="1"/>
  <c r="D16" i="2" l="1"/>
  <c r="B17" i="2" s="1"/>
  <c r="D17" i="1"/>
  <c r="C17" i="1" s="1"/>
  <c r="B18" i="1" s="1"/>
  <c r="D17" i="2" l="1"/>
  <c r="B18" i="2" s="1"/>
  <c r="D18" i="1"/>
  <c r="C18" i="1" s="1"/>
  <c r="B19" i="1" s="1"/>
  <c r="D18" i="2" l="1"/>
  <c r="B19" i="2" s="1"/>
  <c r="D19" i="1"/>
  <c r="C19" i="1" s="1"/>
  <c r="B20" i="1" s="1"/>
  <c r="D19" i="2" l="1"/>
  <c r="B20" i="2"/>
  <c r="D20" i="1"/>
  <c r="C20" i="1" s="1"/>
  <c r="B21" i="1" s="1"/>
  <c r="D20" i="2" l="1"/>
  <c r="B21" i="2" s="1"/>
  <c r="D21" i="1"/>
  <c r="C21" i="1" s="1"/>
  <c r="B22" i="1" s="1"/>
  <c r="D21" i="2" l="1"/>
  <c r="B22" i="2" s="1"/>
  <c r="D22" i="1"/>
  <c r="C22" i="1" s="1"/>
  <c r="B23" i="1" s="1"/>
  <c r="D22" i="2" l="1"/>
  <c r="B23" i="2"/>
  <c r="D23" i="1"/>
  <c r="C23" i="1" s="1"/>
  <c r="B24" i="1" s="1"/>
  <c r="D23" i="2" l="1"/>
  <c r="B24" i="2" s="1"/>
  <c r="D24" i="1"/>
  <c r="C24" i="1" s="1"/>
  <c r="B25" i="1" s="1"/>
  <c r="D24" i="2" l="1"/>
  <c r="B25" i="2"/>
  <c r="D25" i="1"/>
  <c r="C25" i="1" s="1"/>
  <c r="B26" i="1" s="1"/>
  <c r="D25" i="2" l="1"/>
  <c r="B26" i="2" s="1"/>
  <c r="D26" i="1"/>
  <c r="C26" i="1" s="1"/>
  <c r="B27" i="1" s="1"/>
  <c r="D26" i="2" l="1"/>
  <c r="B27" i="2"/>
  <c r="D27" i="1"/>
  <c r="C27" i="1" s="1"/>
  <c r="B28" i="1" s="1"/>
  <c r="D27" i="2" l="1"/>
  <c r="B28" i="2" s="1"/>
  <c r="D28" i="1"/>
  <c r="C28" i="1" s="1"/>
  <c r="B29" i="1" s="1"/>
  <c r="D28" i="2" l="1"/>
  <c r="B29" i="2"/>
  <c r="D29" i="1"/>
  <c r="C29" i="1" s="1"/>
  <c r="B30" i="1" s="1"/>
  <c r="D29" i="2" l="1"/>
  <c r="B30" i="2" s="1"/>
  <c r="D30" i="1"/>
  <c r="C30" i="1" s="1"/>
  <c r="B31" i="1" s="1"/>
  <c r="D30" i="2" l="1"/>
  <c r="B31" i="2"/>
  <c r="D31" i="1"/>
  <c r="C31" i="1" s="1"/>
  <c r="B32" i="1" s="1"/>
  <c r="D31" i="2" l="1"/>
  <c r="B32" i="2" s="1"/>
  <c r="D32" i="1"/>
  <c r="C32" i="1" s="1"/>
  <c r="B33" i="1" s="1"/>
  <c r="D32" i="2" l="1"/>
  <c r="B33" i="2"/>
  <c r="D33" i="1"/>
  <c r="C33" i="1" s="1"/>
  <c r="B34" i="1" s="1"/>
  <c r="D33" i="2" l="1"/>
  <c r="B34" i="2" s="1"/>
  <c r="D34" i="1"/>
  <c r="C34" i="1" s="1"/>
  <c r="B35" i="1" s="1"/>
  <c r="D34" i="2" l="1"/>
  <c r="B35" i="2"/>
  <c r="D35" i="1"/>
  <c r="C35" i="1" s="1"/>
  <c r="B36" i="1" s="1"/>
  <c r="D35" i="2" l="1"/>
  <c r="B36" i="2" s="1"/>
  <c r="D36" i="1"/>
  <c r="C36" i="1" s="1"/>
  <c r="B37" i="1" s="1"/>
  <c r="D36" i="2" l="1"/>
  <c r="B37" i="2"/>
  <c r="D37" i="1"/>
  <c r="C37" i="1" s="1"/>
  <c r="B38" i="1" s="1"/>
  <c r="D37" i="2" l="1"/>
  <c r="B38" i="2" s="1"/>
  <c r="D38" i="1"/>
  <c r="C38" i="1" s="1"/>
  <c r="B39" i="1" s="1"/>
  <c r="D38" i="2" l="1"/>
  <c r="B39" i="2"/>
  <c r="D39" i="1"/>
  <c r="C39" i="1" s="1"/>
  <c r="B40" i="1" s="1"/>
  <c r="D39" i="2" l="1"/>
  <c r="B40" i="2" s="1"/>
  <c r="D40" i="1"/>
  <c r="C40" i="1" s="1"/>
  <c r="B41" i="1" s="1"/>
  <c r="D40" i="2" l="1"/>
  <c r="B41" i="2"/>
  <c r="D41" i="1"/>
  <c r="C41" i="1" s="1"/>
  <c r="B42" i="1" s="1"/>
  <c r="D41" i="2" l="1"/>
  <c r="B42" i="2" s="1"/>
  <c r="D42" i="1"/>
  <c r="C42" i="1" s="1"/>
  <c r="B43" i="1" s="1"/>
  <c r="D42" i="2" l="1"/>
  <c r="B43" i="2"/>
  <c r="D43" i="1"/>
  <c r="C43" i="1" s="1"/>
  <c r="B44" i="1" s="1"/>
  <c r="D43" i="2" l="1"/>
  <c r="B44" i="2" s="1"/>
  <c r="D44" i="1"/>
  <c r="C44" i="1" s="1"/>
  <c r="B45" i="1" s="1"/>
  <c r="D44" i="2" l="1"/>
  <c r="B45" i="2"/>
  <c r="D45" i="1"/>
  <c r="C45" i="1" s="1"/>
  <c r="B46" i="1" s="1"/>
  <c r="D45" i="2" l="1"/>
  <c r="B46" i="2" s="1"/>
  <c r="D46" i="1"/>
  <c r="C46" i="1" s="1"/>
  <c r="B47" i="1" s="1"/>
  <c r="D46" i="2" l="1"/>
  <c r="B47" i="2"/>
  <c r="D47" i="1"/>
  <c r="C47" i="1" s="1"/>
  <c r="B48" i="1" s="1"/>
  <c r="D47" i="2" l="1"/>
  <c r="B48" i="2" s="1"/>
  <c r="D48" i="1"/>
  <c r="C48" i="1" s="1"/>
  <c r="B49" i="1" s="1"/>
  <c r="D48" i="2" l="1"/>
  <c r="B49" i="2"/>
  <c r="D49" i="1"/>
  <c r="C49" i="1" s="1"/>
  <c r="B50" i="1" s="1"/>
  <c r="D49" i="2" l="1"/>
  <c r="B50" i="2" s="1"/>
  <c r="D50" i="1"/>
  <c r="C50" i="1" s="1"/>
  <c r="B51" i="1" s="1"/>
  <c r="D50" i="2" l="1"/>
  <c r="B51" i="2" s="1"/>
  <c r="D51" i="1"/>
  <c r="C51" i="1" s="1"/>
  <c r="B52" i="1" s="1"/>
  <c r="D51" i="2" l="1"/>
  <c r="B52" i="2" s="1"/>
  <c r="D52" i="1"/>
  <c r="C52" i="1" s="1"/>
  <c r="B53" i="1" s="1"/>
  <c r="D52" i="2" l="1"/>
  <c r="B53" i="2"/>
  <c r="D53" i="1"/>
  <c r="C53" i="1" s="1"/>
  <c r="B54" i="1" s="1"/>
  <c r="D53" i="2" l="1"/>
  <c r="B54" i="2" s="1"/>
  <c r="D54" i="1"/>
  <c r="C54" i="1" s="1"/>
  <c r="B55" i="1" s="1"/>
  <c r="D54" i="2" l="1"/>
  <c r="B55" i="2"/>
  <c r="D55" i="1"/>
  <c r="C55" i="1" s="1"/>
  <c r="B56" i="1" s="1"/>
  <c r="D55" i="2" l="1"/>
  <c r="B56" i="2" s="1"/>
  <c r="D56" i="1"/>
  <c r="C56" i="1" s="1"/>
  <c r="B57" i="1" s="1"/>
  <c r="D56" i="2" l="1"/>
  <c r="B57" i="2"/>
  <c r="D57" i="1"/>
  <c r="C57" i="1" s="1"/>
  <c r="B58" i="1" s="1"/>
  <c r="D57" i="2" l="1"/>
  <c r="B58" i="2" s="1"/>
  <c r="D58" i="1"/>
  <c r="C58" i="1" s="1"/>
  <c r="B59" i="1" s="1"/>
  <c r="D58" i="2" l="1"/>
  <c r="B59" i="2" s="1"/>
  <c r="D59" i="1"/>
  <c r="C59" i="1" s="1"/>
  <c r="B60" i="1" s="1"/>
  <c r="D59" i="2" l="1"/>
  <c r="B60" i="2" s="1"/>
  <c r="D60" i="1"/>
  <c r="C60" i="1" s="1"/>
  <c r="B61" i="1" s="1"/>
  <c r="D60" i="2" l="1"/>
  <c r="B61" i="2"/>
  <c r="D61" i="1"/>
  <c r="C61" i="1" s="1"/>
  <c r="B62" i="1" s="1"/>
  <c r="D61" i="2" l="1"/>
  <c r="B62" i="2" s="1"/>
  <c r="D62" i="1"/>
  <c r="C62" i="1" s="1"/>
  <c r="B63" i="1" s="1"/>
  <c r="D62" i="2" l="1"/>
  <c r="B63" i="2"/>
  <c r="D63" i="1"/>
  <c r="C63" i="1" s="1"/>
  <c r="B64" i="1" s="1"/>
  <c r="D63" i="2" l="1"/>
  <c r="B64" i="2" s="1"/>
  <c r="D64" i="1"/>
  <c r="C64" i="1" s="1"/>
  <c r="B65" i="1" s="1"/>
  <c r="D64" i="2" l="1"/>
  <c r="B65" i="2"/>
  <c r="D65" i="1"/>
  <c r="C65" i="1" s="1"/>
  <c r="B66" i="1" s="1"/>
  <c r="D65" i="2" l="1"/>
  <c r="B66" i="2" s="1"/>
  <c r="D66" i="1"/>
  <c r="C66" i="1" s="1"/>
  <c r="B67" i="1" s="1"/>
  <c r="D66" i="2" l="1"/>
  <c r="B67" i="2"/>
  <c r="D67" i="1"/>
  <c r="C67" i="1" s="1"/>
  <c r="B68" i="1" s="1"/>
  <c r="D67" i="2" l="1"/>
  <c r="B68" i="2" s="1"/>
  <c r="D68" i="1"/>
  <c r="C68" i="1" s="1"/>
  <c r="B69" i="1" s="1"/>
  <c r="D68" i="2" l="1"/>
  <c r="B69" i="2"/>
  <c r="D69" i="1"/>
  <c r="C69" i="1" s="1"/>
  <c r="B70" i="1" s="1"/>
  <c r="D69" i="2" l="1"/>
  <c r="B70" i="2" s="1"/>
  <c r="D70" i="1"/>
  <c r="C70" i="1" s="1"/>
  <c r="B71" i="1" s="1"/>
  <c r="D70" i="2" l="1"/>
  <c r="B71" i="2"/>
  <c r="D71" i="1"/>
  <c r="C71" i="1" s="1"/>
  <c r="B72" i="1" s="1"/>
  <c r="D71" i="2" l="1"/>
  <c r="B72" i="2" s="1"/>
  <c r="D72" i="1"/>
  <c r="C72" i="1" s="1"/>
  <c r="B73" i="1" s="1"/>
  <c r="D72" i="2" l="1"/>
  <c r="B73" i="2"/>
  <c r="D73" i="1"/>
  <c r="C73" i="1" s="1"/>
  <c r="B74" i="1" s="1"/>
  <c r="D73" i="2" l="1"/>
  <c r="B74" i="2" s="1"/>
  <c r="D74" i="1"/>
  <c r="C74" i="1" s="1"/>
  <c r="B75" i="1" s="1"/>
  <c r="D74" i="2" l="1"/>
  <c r="B75" i="2"/>
  <c r="D75" i="1"/>
  <c r="C75" i="1" s="1"/>
  <c r="B76" i="1" s="1"/>
  <c r="D75" i="2" l="1"/>
  <c r="B76" i="2" s="1"/>
  <c r="D76" i="1"/>
  <c r="C76" i="1" s="1"/>
  <c r="B77" i="1" s="1"/>
  <c r="D76" i="2" l="1"/>
  <c r="B77" i="2"/>
  <c r="D77" i="1"/>
  <c r="C77" i="1" s="1"/>
  <c r="B78" i="1" s="1"/>
  <c r="D77" i="2" l="1"/>
  <c r="B78" i="2" s="1"/>
  <c r="D78" i="1"/>
  <c r="C78" i="1" s="1"/>
  <c r="B79" i="1" s="1"/>
  <c r="D78" i="2" l="1"/>
  <c r="B79" i="2"/>
  <c r="D79" i="1"/>
  <c r="C79" i="1" s="1"/>
  <c r="B80" i="1" s="1"/>
  <c r="D79" i="2" l="1"/>
  <c r="B80" i="2" s="1"/>
  <c r="D80" i="1"/>
  <c r="C80" i="1" s="1"/>
  <c r="B81" i="1" s="1"/>
  <c r="D80" i="2" l="1"/>
  <c r="B81" i="2"/>
  <c r="D81" i="1"/>
  <c r="C81" i="1" s="1"/>
  <c r="B82" i="1" s="1"/>
  <c r="D81" i="2" l="1"/>
  <c r="B82" i="2" s="1"/>
  <c r="D82" i="1"/>
  <c r="C82" i="1" s="1"/>
  <c r="B83" i="1" s="1"/>
  <c r="D82" i="2" l="1"/>
  <c r="B83" i="2"/>
  <c r="D83" i="1"/>
  <c r="C83" i="1" s="1"/>
  <c r="B84" i="1" s="1"/>
  <c r="D83" i="2" l="1"/>
  <c r="B84" i="2" s="1"/>
  <c r="D84" i="1"/>
  <c r="C84" i="1" s="1"/>
  <c r="B85" i="1" s="1"/>
  <c r="D84" i="2" l="1"/>
  <c r="B85" i="2"/>
  <c r="D85" i="1"/>
  <c r="C85" i="1" s="1"/>
  <c r="B86" i="1" s="1"/>
  <c r="D85" i="2" l="1"/>
  <c r="B86" i="2" s="1"/>
  <c r="D86" i="1"/>
  <c r="C86" i="1" s="1"/>
  <c r="B87" i="1" s="1"/>
  <c r="D86" i="2" l="1"/>
  <c r="B87" i="2"/>
  <c r="D87" i="1"/>
  <c r="C87" i="1" s="1"/>
  <c r="B88" i="1" s="1"/>
  <c r="D87" i="2" l="1"/>
  <c r="B88" i="2" s="1"/>
  <c r="D88" i="1"/>
  <c r="C88" i="1" s="1"/>
  <c r="B89" i="1" s="1"/>
  <c r="D88" i="2" l="1"/>
  <c r="B89" i="2" s="1"/>
  <c r="D89" i="1"/>
  <c r="C89" i="1" s="1"/>
  <c r="B90" i="1" s="1"/>
  <c r="D89" i="2" l="1"/>
  <c r="B90" i="2" s="1"/>
  <c r="D90" i="1"/>
  <c r="C90" i="1" s="1"/>
  <c r="B91" i="1" s="1"/>
  <c r="D90" i="2" l="1"/>
  <c r="B91" i="2" s="1"/>
  <c r="D91" i="1"/>
  <c r="C91" i="1" s="1"/>
  <c r="B92" i="1" s="1"/>
  <c r="D91" i="2" l="1"/>
  <c r="B92" i="2" s="1"/>
  <c r="D92" i="1"/>
  <c r="C92" i="1" s="1"/>
  <c r="B93" i="1" s="1"/>
  <c r="D92" i="2" l="1"/>
  <c r="B93" i="2" s="1"/>
  <c r="D93" i="1"/>
  <c r="C93" i="1" s="1"/>
  <c r="B94" i="1" s="1"/>
  <c r="D93" i="2" l="1"/>
  <c r="B94" i="2"/>
  <c r="D94" i="1"/>
  <c r="C94" i="1" s="1"/>
  <c r="B95" i="1" s="1"/>
  <c r="D94" i="2" l="1"/>
  <c r="B95" i="2" s="1"/>
  <c r="D95" i="1"/>
  <c r="C95" i="1" s="1"/>
  <c r="B96" i="1" s="1"/>
  <c r="D95" i="2" l="1"/>
  <c r="B96" i="2"/>
  <c r="D96" i="1"/>
  <c r="C96" i="1" s="1"/>
  <c r="B97" i="1" s="1"/>
  <c r="D96" i="2" l="1"/>
  <c r="B97" i="2" s="1"/>
  <c r="D97" i="1"/>
  <c r="C97" i="1" s="1"/>
  <c r="B98" i="1" s="1"/>
  <c r="D97" i="2" l="1"/>
  <c r="B98" i="2"/>
  <c r="D98" i="1"/>
  <c r="C98" i="1" s="1"/>
  <c r="B99" i="1" s="1"/>
  <c r="D98" i="2" l="1"/>
  <c r="B99" i="2" s="1"/>
  <c r="D99" i="1"/>
  <c r="C99" i="1" s="1"/>
  <c r="B100" i="1" s="1"/>
  <c r="D99" i="2" l="1"/>
  <c r="B100" i="2"/>
  <c r="D100" i="1"/>
  <c r="C100" i="1" s="1"/>
  <c r="B101" i="1" s="1"/>
  <c r="D100" i="2" l="1"/>
  <c r="B101" i="2" s="1"/>
  <c r="D101" i="1"/>
  <c r="C101" i="1" s="1"/>
  <c r="B102" i="1" s="1"/>
  <c r="D101" i="2" l="1"/>
  <c r="B102" i="2" s="1"/>
  <c r="D102" i="1"/>
  <c r="C102" i="1" s="1"/>
  <c r="B103" i="1" s="1"/>
  <c r="D102" i="2" l="1"/>
  <c r="B103" i="2" s="1"/>
  <c r="D103" i="1"/>
  <c r="C103" i="1" s="1"/>
  <c r="B104" i="1" s="1"/>
  <c r="D103" i="2" l="1"/>
  <c r="B104" i="2"/>
  <c r="D104" i="1"/>
  <c r="C104" i="1" s="1"/>
  <c r="B105" i="1" s="1"/>
  <c r="D104" i="2" l="1"/>
  <c r="B105" i="2" s="1"/>
  <c r="D105" i="1"/>
  <c r="C105" i="1" s="1"/>
  <c r="B106" i="1" s="1"/>
  <c r="D105" i="2" l="1"/>
  <c r="B106" i="2"/>
  <c r="D106" i="1"/>
  <c r="C106" i="1" s="1"/>
  <c r="B107" i="1" s="1"/>
  <c r="D106" i="2" l="1"/>
  <c r="B107" i="2" s="1"/>
  <c r="D107" i="1"/>
  <c r="C107" i="1" s="1"/>
  <c r="B108" i="1" s="1"/>
  <c r="D107" i="2" l="1"/>
  <c r="B108" i="2"/>
  <c r="D108" i="1"/>
  <c r="C108" i="1" s="1"/>
  <c r="B109" i="1" s="1"/>
  <c r="D108" i="2" l="1"/>
  <c r="B109" i="2" s="1"/>
  <c r="D109" i="1"/>
  <c r="C109" i="1" s="1"/>
  <c r="B110" i="1" s="1"/>
  <c r="D109" i="2" l="1"/>
  <c r="B110" i="2"/>
  <c r="D110" i="1"/>
  <c r="C110" i="1" s="1"/>
  <c r="B111" i="1" s="1"/>
  <c r="D110" i="2" l="1"/>
  <c r="B111" i="2" s="1"/>
  <c r="D111" i="1"/>
  <c r="C111" i="1" s="1"/>
  <c r="B112" i="1" s="1"/>
  <c r="D111" i="2" l="1"/>
  <c r="B112" i="2"/>
  <c r="D112" i="1"/>
  <c r="C112" i="1" s="1"/>
  <c r="B113" i="1" s="1"/>
  <c r="D112" i="2" l="1"/>
  <c r="B113" i="2" s="1"/>
  <c r="D113" i="1"/>
  <c r="C113" i="1" s="1"/>
  <c r="B114" i="1" s="1"/>
  <c r="D113" i="2" l="1"/>
  <c r="B114" i="2" s="1"/>
  <c r="D114" i="1"/>
  <c r="C114" i="1" s="1"/>
  <c r="B115" i="1" s="1"/>
  <c r="D114" i="2" l="1"/>
  <c r="B115" i="2" s="1"/>
  <c r="D115" i="1"/>
  <c r="C115" i="1" s="1"/>
  <c r="B116" i="1" s="1"/>
  <c r="D115" i="2" l="1"/>
  <c r="B116" i="2"/>
  <c r="D116" i="1"/>
  <c r="C116" i="1" s="1"/>
  <c r="B117" i="1" s="1"/>
  <c r="D116" i="2" l="1"/>
  <c r="B117" i="2" s="1"/>
  <c r="D117" i="1"/>
  <c r="C117" i="1" s="1"/>
  <c r="B118" i="1" s="1"/>
  <c r="D117" i="2" l="1"/>
  <c r="B118" i="2"/>
  <c r="D118" i="1"/>
  <c r="C118" i="1" s="1"/>
  <c r="B119" i="1" s="1"/>
  <c r="D118" i="2" l="1"/>
  <c r="B119" i="2" s="1"/>
  <c r="D119" i="1"/>
  <c r="C119" i="1" s="1"/>
  <c r="B120" i="1" s="1"/>
  <c r="D119" i="2" l="1"/>
  <c r="B120" i="2"/>
  <c r="D120" i="1"/>
  <c r="C120" i="1" s="1"/>
  <c r="B121" i="1" s="1"/>
  <c r="D120" i="2" l="1"/>
  <c r="B121" i="2" s="1"/>
  <c r="D121" i="1"/>
  <c r="C121" i="1" s="1"/>
  <c r="B122" i="1" s="1"/>
  <c r="D121" i="2" l="1"/>
  <c r="B122" i="2"/>
  <c r="D122" i="1"/>
  <c r="C122" i="1" s="1"/>
  <c r="B123" i="1" s="1"/>
  <c r="D122" i="2" l="1"/>
  <c r="B123" i="2" s="1"/>
  <c r="D123" i="1"/>
  <c r="C123" i="1" s="1"/>
  <c r="B124" i="1" s="1"/>
  <c r="D123" i="2" l="1"/>
  <c r="B124" i="2"/>
  <c r="D124" i="1"/>
  <c r="C124" i="1" s="1"/>
  <c r="B125" i="1" s="1"/>
  <c r="D124" i="2" l="1"/>
  <c r="B125" i="2" s="1"/>
  <c r="D125" i="1"/>
  <c r="C125" i="1" s="1"/>
  <c r="B126" i="1" s="1"/>
  <c r="D125" i="2" l="1"/>
  <c r="B126" i="2"/>
  <c r="D126" i="1"/>
  <c r="C126" i="1" s="1"/>
  <c r="B127" i="1" s="1"/>
  <c r="D126" i="2" l="1"/>
  <c r="B127" i="2" s="1"/>
  <c r="D127" i="1"/>
  <c r="C127" i="1" s="1"/>
  <c r="B128" i="1" s="1"/>
  <c r="D127" i="2" l="1"/>
  <c r="B128" i="2"/>
  <c r="D128" i="1"/>
  <c r="C128" i="1" s="1"/>
  <c r="B129" i="1" s="1"/>
  <c r="D128" i="2" l="1"/>
  <c r="B129" i="2" s="1"/>
  <c r="D129" i="1"/>
  <c r="C129" i="1" s="1"/>
  <c r="B130" i="1" s="1"/>
  <c r="D129" i="2" l="1"/>
  <c r="B130" i="2" s="1"/>
  <c r="D130" i="1"/>
  <c r="C130" i="1" s="1"/>
  <c r="B131" i="1" s="1"/>
  <c r="D130" i="2" l="1"/>
  <c r="B131" i="2" s="1"/>
  <c r="D131" i="1"/>
  <c r="C131" i="1" s="1"/>
  <c r="B132" i="1" s="1"/>
  <c r="D131" i="2" l="1"/>
  <c r="B132" i="2"/>
  <c r="D132" i="1"/>
  <c r="C132" i="1" s="1"/>
  <c r="B133" i="1" s="1"/>
  <c r="D132" i="2" l="1"/>
  <c r="B133" i="2" s="1"/>
  <c r="D133" i="1"/>
  <c r="C133" i="1" s="1"/>
  <c r="B134" i="1" s="1"/>
  <c r="D133" i="2" l="1"/>
  <c r="B134" i="2"/>
  <c r="D134" i="1"/>
  <c r="C134" i="1" s="1"/>
  <c r="B135" i="1" s="1"/>
  <c r="D134" i="2" l="1"/>
  <c r="B135" i="2" s="1"/>
  <c r="D135" i="1"/>
  <c r="C135" i="1" s="1"/>
  <c r="B136" i="1" s="1"/>
  <c r="D135" i="2" l="1"/>
  <c r="B136" i="2" s="1"/>
  <c r="D136" i="1"/>
  <c r="C136" i="1" s="1"/>
  <c r="B137" i="1" s="1"/>
  <c r="D136" i="2" l="1"/>
  <c r="B137" i="2" s="1"/>
  <c r="D137" i="1"/>
  <c r="C137" i="1" s="1"/>
  <c r="B138" i="1" s="1"/>
  <c r="D137" i="2" l="1"/>
  <c r="B138" i="2" s="1"/>
  <c r="D138" i="1"/>
  <c r="C138" i="1" s="1"/>
  <c r="B139" i="1" s="1"/>
  <c r="D138" i="2" l="1"/>
  <c r="B139" i="2" s="1"/>
  <c r="D139" i="1"/>
  <c r="C139" i="1" s="1"/>
  <c r="B140" i="1" s="1"/>
  <c r="D139" i="2" l="1"/>
  <c r="B140" i="2"/>
  <c r="D140" i="1"/>
  <c r="C140" i="1" s="1"/>
  <c r="B141" i="1" s="1"/>
  <c r="D140" i="2" l="1"/>
  <c r="B141" i="2" s="1"/>
  <c r="D141" i="1"/>
  <c r="C141" i="1" s="1"/>
  <c r="B142" i="1" s="1"/>
  <c r="D141" i="2" l="1"/>
  <c r="B142" i="2" s="1"/>
  <c r="D142" i="1"/>
  <c r="C142" i="1" s="1"/>
  <c r="B143" i="1" s="1"/>
  <c r="D142" i="2" l="1"/>
  <c r="B143" i="2"/>
  <c r="D143" i="1"/>
  <c r="C143" i="1" s="1"/>
  <c r="B144" i="1" s="1"/>
  <c r="D143" i="2" l="1"/>
  <c r="B144" i="2" s="1"/>
  <c r="D144" i="1"/>
  <c r="C144" i="1" s="1"/>
  <c r="B145" i="1" s="1"/>
  <c r="D144" i="2" l="1"/>
  <c r="B145" i="2"/>
  <c r="D145" i="1"/>
  <c r="C145" i="1" s="1"/>
  <c r="B146" i="1" s="1"/>
  <c r="D145" i="2" l="1"/>
  <c r="B146" i="2" s="1"/>
  <c r="D146" i="1"/>
  <c r="C146" i="1" s="1"/>
  <c r="B147" i="1" s="1"/>
  <c r="D146" i="2" l="1"/>
  <c r="B147" i="2"/>
  <c r="D147" i="1"/>
  <c r="C147" i="1" s="1"/>
  <c r="B148" i="1" s="1"/>
  <c r="D147" i="2" l="1"/>
  <c r="B148" i="2" s="1"/>
  <c r="D148" i="1"/>
  <c r="C148" i="1" s="1"/>
  <c r="B149" i="1" s="1"/>
  <c r="D148" i="2" l="1"/>
  <c r="B149" i="2"/>
  <c r="D149" i="1"/>
  <c r="C149" i="1" s="1"/>
  <c r="B150" i="1" s="1"/>
  <c r="D149" i="2" l="1"/>
  <c r="B150" i="2" s="1"/>
  <c r="D150" i="1"/>
  <c r="C150" i="1" s="1"/>
  <c r="B151" i="1" s="1"/>
  <c r="D150" i="2" l="1"/>
  <c r="B151" i="2"/>
  <c r="D151" i="1"/>
  <c r="C151" i="1" s="1"/>
  <c r="B152" i="1" s="1"/>
  <c r="D151" i="2" l="1"/>
  <c r="B152" i="2" s="1"/>
  <c r="D152" i="1"/>
  <c r="C152" i="1" s="1"/>
  <c r="B153" i="1" s="1"/>
  <c r="D152" i="2" l="1"/>
  <c r="B153" i="2"/>
  <c r="D153" i="1"/>
  <c r="C153" i="1" s="1"/>
  <c r="B154" i="1"/>
  <c r="D153" i="2" l="1"/>
  <c r="B154" i="2" s="1"/>
  <c r="D154" i="1"/>
  <c r="C154" i="1" s="1"/>
  <c r="B155" i="1" s="1"/>
  <c r="D154" i="2" l="1"/>
  <c r="B155" i="2" s="1"/>
  <c r="D155" i="1"/>
  <c r="C155" i="1" s="1"/>
  <c r="B156" i="1" s="1"/>
  <c r="D155" i="2" l="1"/>
  <c r="B156" i="2" s="1"/>
  <c r="D156" i="1"/>
  <c r="C156" i="1" s="1"/>
  <c r="B157" i="1" s="1"/>
  <c r="D156" i="2" l="1"/>
  <c r="B157" i="2"/>
  <c r="D157" i="1"/>
  <c r="C157" i="1" s="1"/>
  <c r="B158" i="1" s="1"/>
  <c r="D157" i="2" l="1"/>
  <c r="B158" i="2" s="1"/>
  <c r="D158" i="1"/>
  <c r="C158" i="1" s="1"/>
  <c r="B159" i="1" s="1"/>
  <c r="D158" i="2" l="1"/>
  <c r="B159" i="2"/>
  <c r="D159" i="1"/>
  <c r="C159" i="1" s="1"/>
  <c r="B160" i="1" s="1"/>
  <c r="D159" i="2" l="1"/>
  <c r="B160" i="2" s="1"/>
  <c r="D160" i="1"/>
  <c r="C160" i="1" s="1"/>
  <c r="B161" i="1" s="1"/>
  <c r="D160" i="2" l="1"/>
  <c r="B161" i="2"/>
  <c r="D161" i="1"/>
  <c r="C161" i="1" s="1"/>
  <c r="B162" i="1" s="1"/>
  <c r="D161" i="2" l="1"/>
  <c r="B162" i="2" s="1"/>
  <c r="D162" i="1"/>
  <c r="C162" i="1" s="1"/>
  <c r="B163" i="1" s="1"/>
  <c r="D162" i="2" l="1"/>
  <c r="B163" i="2"/>
  <c r="D163" i="1"/>
  <c r="C163" i="1" s="1"/>
  <c r="B164" i="1" s="1"/>
  <c r="D163" i="2" l="1"/>
  <c r="B164" i="2" s="1"/>
  <c r="D164" i="1"/>
  <c r="C164" i="1" s="1"/>
  <c r="B165" i="1" s="1"/>
  <c r="D164" i="2" l="1"/>
  <c r="B165" i="2"/>
  <c r="D165" i="1"/>
  <c r="C165" i="1" s="1"/>
  <c r="B166" i="1" s="1"/>
  <c r="D165" i="2" l="1"/>
  <c r="B166" i="2" s="1"/>
  <c r="D166" i="1"/>
  <c r="C166" i="1" s="1"/>
  <c r="B167" i="1" s="1"/>
  <c r="D166" i="2" l="1"/>
  <c r="B167" i="2"/>
  <c r="D167" i="1"/>
  <c r="C167" i="1" s="1"/>
  <c r="B168" i="1" s="1"/>
  <c r="D167" i="2" l="1"/>
  <c r="B168" i="2" s="1"/>
  <c r="D168" i="1"/>
  <c r="C168" i="1" s="1"/>
  <c r="B169" i="1" s="1"/>
  <c r="D168" i="2" l="1"/>
  <c r="B169" i="2"/>
  <c r="D169" i="1"/>
  <c r="C169" i="1" s="1"/>
  <c r="B170" i="1" s="1"/>
  <c r="D169" i="2" l="1"/>
  <c r="B170" i="2" s="1"/>
  <c r="D170" i="1"/>
  <c r="C170" i="1" s="1"/>
  <c r="B171" i="1" s="1"/>
  <c r="D170" i="2" l="1"/>
  <c r="B171" i="2" s="1"/>
  <c r="D171" i="1"/>
  <c r="C171" i="1" s="1"/>
  <c r="B172" i="1" s="1"/>
  <c r="D171" i="2" l="1"/>
  <c r="B172" i="2" s="1"/>
  <c r="D172" i="1"/>
  <c r="C172" i="1" s="1"/>
  <c r="B173" i="1" s="1"/>
  <c r="D172" i="2" l="1"/>
  <c r="B173" i="2" s="1"/>
  <c r="D173" i="1"/>
  <c r="C173" i="1" s="1"/>
  <c r="B174" i="1" s="1"/>
  <c r="D173" i="2" l="1"/>
  <c r="B174" i="2" s="1"/>
  <c r="D174" i="1"/>
  <c r="C174" i="1" s="1"/>
  <c r="B175" i="1" s="1"/>
  <c r="D174" i="2" l="1"/>
  <c r="B175" i="2" s="1"/>
  <c r="D175" i="1"/>
  <c r="C175" i="1" s="1"/>
  <c r="B176" i="1" s="1"/>
  <c r="D175" i="2" l="1"/>
  <c r="B176" i="2" s="1"/>
  <c r="D176" i="1"/>
  <c r="C176" i="1" s="1"/>
  <c r="B177" i="1"/>
  <c r="D176" i="2" l="1"/>
  <c r="B177" i="2"/>
  <c r="D177" i="1"/>
  <c r="C177" i="1" s="1"/>
  <c r="B178" i="1" s="1"/>
  <c r="D177" i="2" l="1"/>
  <c r="B178" i="2" s="1"/>
  <c r="D178" i="1"/>
  <c r="C178" i="1" s="1"/>
  <c r="B179" i="1" s="1"/>
  <c r="D178" i="2" l="1"/>
  <c r="B179" i="2"/>
  <c r="D179" i="1"/>
  <c r="C179" i="1" s="1"/>
  <c r="B180" i="1" s="1"/>
  <c r="D179" i="2" l="1"/>
  <c r="B180" i="2" s="1"/>
  <c r="D180" i="1"/>
  <c r="C180" i="1" s="1"/>
  <c r="B181" i="1"/>
  <c r="D180" i="2" l="1"/>
  <c r="B181" i="2"/>
  <c r="D181" i="1"/>
  <c r="C181" i="1" s="1"/>
  <c r="B182" i="1" s="1"/>
  <c r="D181" i="2" l="1"/>
  <c r="B182" i="2" s="1"/>
  <c r="D182" i="1"/>
  <c r="C182" i="1" s="1"/>
  <c r="B183" i="1"/>
  <c r="D183" i="1" s="1"/>
  <c r="C183" i="1" s="1"/>
  <c r="D182" i="2" l="1"/>
  <c r="B183" i="2"/>
  <c r="D183" i="2" s="1"/>
</calcChain>
</file>

<file path=xl/sharedStrings.xml><?xml version="1.0" encoding="utf-8"?>
<sst xmlns="http://schemas.openxmlformats.org/spreadsheetml/2006/main" count="24" uniqueCount="13">
  <si>
    <t>Сумма ссуды (в руб.)</t>
  </si>
  <si>
    <t>Процент</t>
  </si>
  <si>
    <t>Срок займа (лет)</t>
  </si>
  <si>
    <t>Срок займа (в мес.)</t>
  </si>
  <si>
    <t>Дата</t>
  </si>
  <si>
    <t>Остаток долга</t>
  </si>
  <si>
    <t>Уплата долга</t>
  </si>
  <si>
    <t>Уплата процентов</t>
  </si>
  <si>
    <t>Сумма платежа</t>
  </si>
  <si>
    <t>Погашение займа при аннуитентных платежах</t>
  </si>
  <si>
    <t>Погашение займа при дифференциированных платежах</t>
  </si>
  <si>
    <t>Денег заплачено</t>
  </si>
  <si>
    <t>переплата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</si>
</sst>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workbookViewId="0">
      <selection activeCell="H11" sqref="H11"/>
    </sheetView>
  </sheetViews>
  <sheetFormatPr defaultRowHeight="15" x14ac:dyDescent="0.25"/>
  <cols>
    <col min="1" max="1" width="12.140625" customWidth="1"/>
    <col min="2" max="2" width="16" customWidth="1"/>
    <col min="3" max="3" width="14.85546875" customWidth="1"/>
    <col min="4" max="4" width="17.85546875" customWidth="1"/>
    <col min="5" max="5" width="17" customWidth="1"/>
    <col min="6" max="6" width="20.7109375" customWidth="1"/>
    <col min="7" max="7" width="15.140625" customWidth="1"/>
  </cols>
  <sheetData>
    <row r="1" spans="1:7" ht="16.5" thickTop="1" thickBot="1" x14ac:dyDescent="0.3">
      <c r="A1" s="12" t="s">
        <v>9</v>
      </c>
      <c r="B1" s="13"/>
      <c r="C1" s="13"/>
      <c r="D1" s="13"/>
      <c r="E1" s="13"/>
      <c r="F1" s="13"/>
      <c r="G1" s="14"/>
    </row>
    <row r="2" spans="1:7" ht="16.5" thickTop="1" thickBot="1" x14ac:dyDescent="0.3">
      <c r="A2" s="3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3" t="s">
        <v>0</v>
      </c>
      <c r="G2" s="3">
        <v>2800000</v>
      </c>
    </row>
    <row r="3" spans="1:7" ht="16.5" thickTop="1" thickBot="1" x14ac:dyDescent="0.3">
      <c r="A3" s="9">
        <v>42795</v>
      </c>
      <c r="B3" s="10">
        <v>2800000</v>
      </c>
      <c r="C3" s="11">
        <f>E3-D3</f>
        <v>6755.6099624939197</v>
      </c>
      <c r="D3" s="10">
        <f>B3*$G$3/12</f>
        <v>23333.333333333332</v>
      </c>
      <c r="E3" s="11">
        <f>PMT($G$3/12,$G$5,-$G$2,0,0)</f>
        <v>30088.943295827252</v>
      </c>
      <c r="F3" s="3" t="s">
        <v>1</v>
      </c>
      <c r="G3" s="7">
        <v>0.1</v>
      </c>
    </row>
    <row r="4" spans="1:7" ht="16.5" thickTop="1" thickBot="1" x14ac:dyDescent="0.3">
      <c r="A4" s="9">
        <f>EDATE(A3,1)</f>
        <v>42826</v>
      </c>
      <c r="B4" s="10">
        <f>B3-C3</f>
        <v>2793244.3900375059</v>
      </c>
      <c r="C4" s="11">
        <f t="shared" ref="C4:C67" si="0">E4-D4</f>
        <v>6811.9067121813678</v>
      </c>
      <c r="D4" s="10">
        <f t="shared" ref="D4:D67" si="1">B4*$G$3/12</f>
        <v>23277.036583645884</v>
      </c>
      <c r="E4" s="11">
        <f t="shared" ref="E4:E67" si="2">PMT($G$3/12,$G$5,-$G$2,0,0)</f>
        <v>30088.943295827252</v>
      </c>
      <c r="F4" s="3" t="s">
        <v>2</v>
      </c>
      <c r="G4" s="3">
        <v>15</v>
      </c>
    </row>
    <row r="5" spans="1:7" ht="16.5" thickTop="1" thickBot="1" x14ac:dyDescent="0.3">
      <c r="A5" s="9">
        <f>EDATE(A4,1)</f>
        <v>42856</v>
      </c>
      <c r="B5" s="10">
        <f t="shared" ref="B5:B68" si="3">B4-C4</f>
        <v>2786432.4833253245</v>
      </c>
      <c r="C5" s="11">
        <f t="shared" si="0"/>
        <v>6868.6726014495471</v>
      </c>
      <c r="D5" s="10">
        <f t="shared" si="1"/>
        <v>23220.270694377705</v>
      </c>
      <c r="E5" s="11">
        <f t="shared" si="2"/>
        <v>30088.943295827252</v>
      </c>
      <c r="F5" s="3" t="s">
        <v>3</v>
      </c>
      <c r="G5" s="3">
        <v>180</v>
      </c>
    </row>
    <row r="6" spans="1:7" ht="16.5" thickTop="1" thickBot="1" x14ac:dyDescent="0.3">
      <c r="A6" s="9">
        <f t="shared" ref="A6:A69" si="4">EDATE(A5,1)</f>
        <v>42887</v>
      </c>
      <c r="B6" s="10">
        <f t="shared" si="3"/>
        <v>2779563.8107238747</v>
      </c>
      <c r="C6" s="11">
        <f t="shared" si="0"/>
        <v>6925.9115397949608</v>
      </c>
      <c r="D6" s="10">
        <f t="shared" si="1"/>
        <v>23163.031756032291</v>
      </c>
      <c r="E6" s="11">
        <f t="shared" si="2"/>
        <v>30088.943295827252</v>
      </c>
    </row>
    <row r="7" spans="1:7" ht="16.5" thickTop="1" thickBot="1" x14ac:dyDescent="0.3">
      <c r="A7" s="9">
        <f t="shared" si="4"/>
        <v>42917</v>
      </c>
      <c r="B7" s="10">
        <f t="shared" si="3"/>
        <v>2772637.8991840798</v>
      </c>
      <c r="C7" s="11">
        <f t="shared" si="0"/>
        <v>6983.6274692932529</v>
      </c>
      <c r="D7" s="10">
        <f t="shared" si="1"/>
        <v>23105.315826533999</v>
      </c>
      <c r="E7" s="11">
        <f t="shared" si="2"/>
        <v>30088.943295827252</v>
      </c>
    </row>
    <row r="8" spans="1:7" ht="16.5" thickTop="1" thickBot="1" x14ac:dyDescent="0.3">
      <c r="A8" s="9">
        <f t="shared" si="4"/>
        <v>42948</v>
      </c>
      <c r="B8" s="10">
        <f t="shared" si="3"/>
        <v>2765654.2717147865</v>
      </c>
      <c r="C8" s="11">
        <f t="shared" si="0"/>
        <v>7041.8243648706957</v>
      </c>
      <c r="D8" s="10">
        <f t="shared" si="1"/>
        <v>23047.118930956556</v>
      </c>
      <c r="E8" s="11">
        <f t="shared" si="2"/>
        <v>30088.943295827252</v>
      </c>
      <c r="F8" s="5" t="s">
        <v>11</v>
      </c>
      <c r="G8" s="5">
        <f>SUM(E3:E183)</f>
        <v>5446098.7365447162</v>
      </c>
    </row>
    <row r="9" spans="1:7" ht="16.5" thickTop="1" thickBot="1" x14ac:dyDescent="0.3">
      <c r="A9" s="9">
        <f t="shared" si="4"/>
        <v>42979</v>
      </c>
      <c r="B9" s="10">
        <f t="shared" si="3"/>
        <v>2758612.4473499157</v>
      </c>
      <c r="C9" s="11">
        <f t="shared" si="0"/>
        <v>7100.5062345779552</v>
      </c>
      <c r="D9" s="10">
        <f t="shared" si="1"/>
        <v>22988.437061249297</v>
      </c>
      <c r="E9" s="11">
        <f t="shared" si="2"/>
        <v>30088.943295827252</v>
      </c>
      <c r="F9" s="5" t="s">
        <v>12</v>
      </c>
      <c r="G9" s="5">
        <f>G8-B3</f>
        <v>2646098.7365447162</v>
      </c>
    </row>
    <row r="10" spans="1:7" ht="16.5" thickTop="1" thickBot="1" x14ac:dyDescent="0.3">
      <c r="A10" s="9">
        <f t="shared" si="4"/>
        <v>43009</v>
      </c>
      <c r="B10" s="10">
        <f t="shared" si="3"/>
        <v>2751511.9411153379</v>
      </c>
      <c r="C10" s="11">
        <f t="shared" si="0"/>
        <v>7159.6771198661008</v>
      </c>
      <c r="D10" s="10">
        <f t="shared" si="1"/>
        <v>22929.266175961151</v>
      </c>
      <c r="E10" s="11">
        <f t="shared" si="2"/>
        <v>30088.943295827252</v>
      </c>
    </row>
    <row r="11" spans="1:7" ht="16.5" thickTop="1" thickBot="1" x14ac:dyDescent="0.3">
      <c r="A11" s="9">
        <f t="shared" si="4"/>
        <v>43040</v>
      </c>
      <c r="B11" s="10">
        <f t="shared" si="3"/>
        <v>2744352.2639954719</v>
      </c>
      <c r="C11" s="11">
        <f t="shared" si="0"/>
        <v>7219.3410958649874</v>
      </c>
      <c r="D11" s="10">
        <f t="shared" si="1"/>
        <v>22869.602199962264</v>
      </c>
      <c r="E11" s="11">
        <f t="shared" si="2"/>
        <v>30088.943295827252</v>
      </c>
    </row>
    <row r="12" spans="1:7" ht="16.5" thickTop="1" thickBot="1" x14ac:dyDescent="0.3">
      <c r="A12" s="9">
        <f t="shared" si="4"/>
        <v>43070</v>
      </c>
      <c r="B12" s="10">
        <f t="shared" si="3"/>
        <v>2737132.9228996071</v>
      </c>
      <c r="C12" s="11">
        <f t="shared" si="0"/>
        <v>7279.5022716638596</v>
      </c>
      <c r="D12" s="10">
        <f t="shared" si="1"/>
        <v>22809.441024163392</v>
      </c>
      <c r="E12" s="11">
        <f t="shared" si="2"/>
        <v>30088.943295827252</v>
      </c>
    </row>
    <row r="13" spans="1:7" ht="16.5" thickTop="1" thickBot="1" x14ac:dyDescent="0.3">
      <c r="A13" s="9">
        <f t="shared" si="4"/>
        <v>43101</v>
      </c>
      <c r="B13" s="10">
        <f t="shared" si="3"/>
        <v>2729853.4206279432</v>
      </c>
      <c r="C13" s="11">
        <f t="shared" si="0"/>
        <v>7340.1647905943937</v>
      </c>
      <c r="D13" s="10">
        <f t="shared" si="1"/>
        <v>22748.778505232858</v>
      </c>
      <c r="E13" s="11">
        <f t="shared" si="2"/>
        <v>30088.943295827252</v>
      </c>
    </row>
    <row r="14" spans="1:7" ht="16.5" thickTop="1" thickBot="1" x14ac:dyDescent="0.3">
      <c r="A14" s="9">
        <f t="shared" si="4"/>
        <v>43132</v>
      </c>
      <c r="B14" s="10">
        <f t="shared" si="3"/>
        <v>2722513.2558373488</v>
      </c>
      <c r="C14" s="11">
        <f t="shared" si="0"/>
        <v>7401.3328305160103</v>
      </c>
      <c r="D14" s="10">
        <f t="shared" si="1"/>
        <v>22687.610465311242</v>
      </c>
      <c r="E14" s="11">
        <f t="shared" si="2"/>
        <v>30088.943295827252</v>
      </c>
    </row>
    <row r="15" spans="1:7" ht="16.5" thickTop="1" thickBot="1" x14ac:dyDescent="0.3">
      <c r="A15" s="9">
        <f t="shared" si="4"/>
        <v>43160</v>
      </c>
      <c r="B15" s="10">
        <f t="shared" si="3"/>
        <v>2715111.9230068326</v>
      </c>
      <c r="C15" s="11">
        <f t="shared" si="0"/>
        <v>7463.0106041036452</v>
      </c>
      <c r="D15" s="10">
        <f t="shared" si="1"/>
        <v>22625.932691723607</v>
      </c>
      <c r="E15" s="11">
        <f t="shared" si="2"/>
        <v>30088.943295827252</v>
      </c>
    </row>
    <row r="16" spans="1:7" ht="16.5" thickTop="1" thickBot="1" x14ac:dyDescent="0.3">
      <c r="A16" s="9">
        <f t="shared" si="4"/>
        <v>43191</v>
      </c>
      <c r="B16" s="10">
        <f t="shared" si="3"/>
        <v>2707648.912402729</v>
      </c>
      <c r="C16" s="11">
        <f t="shared" si="0"/>
        <v>7525.202359137842</v>
      </c>
      <c r="D16" s="10">
        <f t="shared" si="1"/>
        <v>22563.74093668941</v>
      </c>
      <c r="E16" s="11">
        <f t="shared" si="2"/>
        <v>30088.943295827252</v>
      </c>
    </row>
    <row r="17" spans="1:5" ht="16.5" thickTop="1" thickBot="1" x14ac:dyDescent="0.3">
      <c r="A17" s="9">
        <f t="shared" si="4"/>
        <v>43221</v>
      </c>
      <c r="B17" s="10">
        <f t="shared" si="3"/>
        <v>2700123.710043591</v>
      </c>
      <c r="C17" s="11">
        <f t="shared" si="0"/>
        <v>7587.9123787973258</v>
      </c>
      <c r="D17" s="10">
        <f t="shared" si="1"/>
        <v>22501.030917029926</v>
      </c>
      <c r="E17" s="11">
        <f t="shared" si="2"/>
        <v>30088.943295827252</v>
      </c>
    </row>
    <row r="18" spans="1:5" ht="16.5" thickTop="1" thickBot="1" x14ac:dyDescent="0.3">
      <c r="A18" s="9">
        <f t="shared" si="4"/>
        <v>43252</v>
      </c>
      <c r="B18" s="10">
        <f t="shared" si="3"/>
        <v>2692535.7976647937</v>
      </c>
      <c r="C18" s="11">
        <f t="shared" si="0"/>
        <v>7651.1449819539703</v>
      </c>
      <c r="D18" s="10">
        <f t="shared" si="1"/>
        <v>22437.798313873282</v>
      </c>
      <c r="E18" s="11">
        <f t="shared" si="2"/>
        <v>30088.943295827252</v>
      </c>
    </row>
    <row r="19" spans="1:5" ht="16.5" thickTop="1" thickBot="1" x14ac:dyDescent="0.3">
      <c r="A19" s="9">
        <f t="shared" si="4"/>
        <v>43282</v>
      </c>
      <c r="B19" s="10">
        <f t="shared" si="3"/>
        <v>2684884.6526828399</v>
      </c>
      <c r="C19" s="11">
        <f t="shared" si="0"/>
        <v>7714.9045234702498</v>
      </c>
      <c r="D19" s="10">
        <f t="shared" si="1"/>
        <v>22374.038772357002</v>
      </c>
      <c r="E19" s="11">
        <f t="shared" si="2"/>
        <v>30088.943295827252</v>
      </c>
    </row>
    <row r="20" spans="1:5" ht="16.5" thickTop="1" thickBot="1" x14ac:dyDescent="0.3">
      <c r="A20" s="9">
        <f t="shared" si="4"/>
        <v>43313</v>
      </c>
      <c r="B20" s="10">
        <f t="shared" si="3"/>
        <v>2677169.7481593695</v>
      </c>
      <c r="C20" s="11">
        <f t="shared" si="0"/>
        <v>7779.1953944991728</v>
      </c>
      <c r="D20" s="10">
        <f t="shared" si="1"/>
        <v>22309.747901328079</v>
      </c>
      <c r="E20" s="11">
        <f t="shared" si="2"/>
        <v>30088.943295827252</v>
      </c>
    </row>
    <row r="21" spans="1:5" ht="16.5" thickTop="1" thickBot="1" x14ac:dyDescent="0.3">
      <c r="A21" s="9">
        <f t="shared" si="4"/>
        <v>43344</v>
      </c>
      <c r="B21" s="10">
        <f t="shared" si="3"/>
        <v>2669390.5527648702</v>
      </c>
      <c r="C21" s="11">
        <f t="shared" si="0"/>
        <v>7844.0220227866666</v>
      </c>
      <c r="D21" s="10">
        <f t="shared" si="1"/>
        <v>22244.921273040585</v>
      </c>
      <c r="E21" s="11">
        <f t="shared" si="2"/>
        <v>30088.943295827252</v>
      </c>
    </row>
    <row r="22" spans="1:5" ht="16.5" thickTop="1" thickBot="1" x14ac:dyDescent="0.3">
      <c r="A22" s="9">
        <f t="shared" si="4"/>
        <v>43374</v>
      </c>
      <c r="B22" s="10">
        <f t="shared" si="3"/>
        <v>2661546.5307420837</v>
      </c>
      <c r="C22" s="11">
        <f t="shared" si="0"/>
        <v>7909.3888729765567</v>
      </c>
      <c r="D22" s="10">
        <f t="shared" si="1"/>
        <v>22179.554422850695</v>
      </c>
      <c r="E22" s="11">
        <f t="shared" si="2"/>
        <v>30088.943295827252</v>
      </c>
    </row>
    <row r="23" spans="1:5" ht="16.5" thickTop="1" thickBot="1" x14ac:dyDescent="0.3">
      <c r="A23" s="9">
        <f t="shared" si="4"/>
        <v>43405</v>
      </c>
      <c r="B23" s="10">
        <f t="shared" si="3"/>
        <v>2653637.1418691073</v>
      </c>
      <c r="C23" s="11">
        <f t="shared" si="0"/>
        <v>7975.3004469180269</v>
      </c>
      <c r="D23" s="10">
        <f t="shared" si="1"/>
        <v>22113.642848909225</v>
      </c>
      <c r="E23" s="11">
        <f t="shared" si="2"/>
        <v>30088.943295827252</v>
      </c>
    </row>
    <row r="24" spans="1:5" ht="16.5" thickTop="1" thickBot="1" x14ac:dyDescent="0.3">
      <c r="A24" s="9">
        <f t="shared" si="4"/>
        <v>43435</v>
      </c>
      <c r="B24" s="10">
        <f t="shared" si="3"/>
        <v>2645661.841422189</v>
      </c>
      <c r="C24" s="11">
        <f t="shared" si="0"/>
        <v>8041.7612839756766</v>
      </c>
      <c r="D24" s="10">
        <f t="shared" si="1"/>
        <v>22047.182011851575</v>
      </c>
      <c r="E24" s="11">
        <f t="shared" si="2"/>
        <v>30088.943295827252</v>
      </c>
    </row>
    <row r="25" spans="1:5" ht="16.5" thickTop="1" thickBot="1" x14ac:dyDescent="0.3">
      <c r="A25" s="9">
        <f t="shared" si="4"/>
        <v>43466</v>
      </c>
      <c r="B25" s="10">
        <f t="shared" si="3"/>
        <v>2637620.0801382135</v>
      </c>
      <c r="C25" s="11">
        <f t="shared" si="0"/>
        <v>8108.7759613421367</v>
      </c>
      <c r="D25" s="10">
        <f t="shared" si="1"/>
        <v>21980.167334485115</v>
      </c>
      <c r="E25" s="11">
        <f t="shared" si="2"/>
        <v>30088.943295827252</v>
      </c>
    </row>
    <row r="26" spans="1:5" ht="16.5" thickTop="1" thickBot="1" x14ac:dyDescent="0.3">
      <c r="A26" s="9">
        <f t="shared" si="4"/>
        <v>43497</v>
      </c>
      <c r="B26" s="10">
        <f t="shared" si="3"/>
        <v>2629511.3041768712</v>
      </c>
      <c r="C26" s="11">
        <f t="shared" si="0"/>
        <v>8176.3490943533252</v>
      </c>
      <c r="D26" s="10">
        <f t="shared" si="1"/>
        <v>21912.594201473927</v>
      </c>
      <c r="E26" s="11">
        <f t="shared" si="2"/>
        <v>30088.943295827252</v>
      </c>
    </row>
    <row r="27" spans="1:5" ht="16.5" thickTop="1" thickBot="1" x14ac:dyDescent="0.3">
      <c r="A27" s="9">
        <f t="shared" si="4"/>
        <v>43525</v>
      </c>
      <c r="B27" s="10">
        <f t="shared" si="3"/>
        <v>2621334.955082518</v>
      </c>
      <c r="C27" s="11">
        <f t="shared" si="0"/>
        <v>8244.485336806265</v>
      </c>
      <c r="D27" s="10">
        <f t="shared" si="1"/>
        <v>21844.457959020987</v>
      </c>
      <c r="E27" s="11">
        <f t="shared" si="2"/>
        <v>30088.943295827252</v>
      </c>
    </row>
    <row r="28" spans="1:5" ht="16.5" thickTop="1" thickBot="1" x14ac:dyDescent="0.3">
      <c r="A28" s="9">
        <f t="shared" si="4"/>
        <v>43556</v>
      </c>
      <c r="B28" s="10">
        <f t="shared" si="3"/>
        <v>2613090.4697457119</v>
      </c>
      <c r="C28" s="11">
        <f t="shared" si="0"/>
        <v>8313.1893812796516</v>
      </c>
      <c r="D28" s="10">
        <f t="shared" si="1"/>
        <v>21775.7539145476</v>
      </c>
      <c r="E28" s="11">
        <f t="shared" si="2"/>
        <v>30088.943295827252</v>
      </c>
    </row>
    <row r="29" spans="1:5" ht="16.5" thickTop="1" thickBot="1" x14ac:dyDescent="0.3">
      <c r="A29" s="9">
        <f t="shared" si="4"/>
        <v>43586</v>
      </c>
      <c r="B29" s="10">
        <f t="shared" si="3"/>
        <v>2604777.2803644324</v>
      </c>
      <c r="C29" s="11">
        <f t="shared" si="0"/>
        <v>8382.4659594569821</v>
      </c>
      <c r="D29" s="10">
        <f t="shared" si="1"/>
        <v>21706.47733637027</v>
      </c>
      <c r="E29" s="11">
        <f t="shared" si="2"/>
        <v>30088.943295827252</v>
      </c>
    </row>
    <row r="30" spans="1:5" ht="16.5" thickTop="1" thickBot="1" x14ac:dyDescent="0.3">
      <c r="A30" s="9">
        <f t="shared" si="4"/>
        <v>43617</v>
      </c>
      <c r="B30" s="10">
        <f t="shared" si="3"/>
        <v>2596394.8144049756</v>
      </c>
      <c r="C30" s="11">
        <f t="shared" si="0"/>
        <v>8452.3198424524562</v>
      </c>
      <c r="D30" s="10">
        <f t="shared" si="1"/>
        <v>21636.623453374796</v>
      </c>
      <c r="E30" s="11">
        <f t="shared" si="2"/>
        <v>30088.943295827252</v>
      </c>
    </row>
    <row r="31" spans="1:5" ht="16.5" thickTop="1" thickBot="1" x14ac:dyDescent="0.3">
      <c r="A31" s="9">
        <f t="shared" si="4"/>
        <v>43647</v>
      </c>
      <c r="B31" s="10">
        <f t="shared" si="3"/>
        <v>2587942.494562523</v>
      </c>
      <c r="C31" s="11">
        <f t="shared" si="0"/>
        <v>8522.7558411395585</v>
      </c>
      <c r="D31" s="10">
        <f t="shared" si="1"/>
        <v>21566.187454687693</v>
      </c>
      <c r="E31" s="11">
        <f t="shared" si="2"/>
        <v>30088.943295827252</v>
      </c>
    </row>
    <row r="32" spans="1:5" ht="16.5" thickTop="1" thickBot="1" x14ac:dyDescent="0.3">
      <c r="A32" s="9">
        <f t="shared" si="4"/>
        <v>43678</v>
      </c>
      <c r="B32" s="10">
        <f t="shared" si="3"/>
        <v>2579419.7387213833</v>
      </c>
      <c r="C32" s="11">
        <f t="shared" si="0"/>
        <v>8593.7788064823908</v>
      </c>
      <c r="D32" s="10">
        <f t="shared" si="1"/>
        <v>21495.164489344861</v>
      </c>
      <c r="E32" s="11">
        <f t="shared" si="2"/>
        <v>30088.943295827252</v>
      </c>
    </row>
    <row r="33" spans="1:5" ht="16.5" thickTop="1" thickBot="1" x14ac:dyDescent="0.3">
      <c r="A33" s="9">
        <f t="shared" si="4"/>
        <v>43709</v>
      </c>
      <c r="B33" s="10">
        <f t="shared" si="3"/>
        <v>2570825.9599149008</v>
      </c>
      <c r="C33" s="11">
        <f t="shared" si="0"/>
        <v>8665.3936298697445</v>
      </c>
      <c r="D33" s="10">
        <f t="shared" si="1"/>
        <v>21423.549665957507</v>
      </c>
      <c r="E33" s="11">
        <f t="shared" si="2"/>
        <v>30088.943295827252</v>
      </c>
    </row>
    <row r="34" spans="1:5" ht="16.5" thickTop="1" thickBot="1" x14ac:dyDescent="0.3">
      <c r="A34" s="9">
        <f t="shared" si="4"/>
        <v>43739</v>
      </c>
      <c r="B34" s="10">
        <f t="shared" si="3"/>
        <v>2562160.5662850309</v>
      </c>
      <c r="C34" s="11">
        <f t="shared" si="0"/>
        <v>8737.6052434519916</v>
      </c>
      <c r="D34" s="10">
        <f t="shared" si="1"/>
        <v>21351.33805237526</v>
      </c>
      <c r="E34" s="11">
        <f t="shared" si="2"/>
        <v>30088.943295827252</v>
      </c>
    </row>
    <row r="35" spans="1:5" ht="16.5" thickTop="1" thickBot="1" x14ac:dyDescent="0.3">
      <c r="A35" s="9">
        <f t="shared" si="4"/>
        <v>43770</v>
      </c>
      <c r="B35" s="10">
        <f t="shared" si="3"/>
        <v>2553422.961041579</v>
      </c>
      <c r="C35" s="11">
        <f t="shared" si="0"/>
        <v>8810.4186204807593</v>
      </c>
      <c r="D35" s="10">
        <f t="shared" si="1"/>
        <v>21278.524675346493</v>
      </c>
      <c r="E35" s="11">
        <f t="shared" si="2"/>
        <v>30088.943295827252</v>
      </c>
    </row>
    <row r="36" spans="1:5" ht="16.5" thickTop="1" thickBot="1" x14ac:dyDescent="0.3">
      <c r="A36" s="9">
        <f t="shared" si="4"/>
        <v>43800</v>
      </c>
      <c r="B36" s="10">
        <f t="shared" si="3"/>
        <v>2544612.5424210983</v>
      </c>
      <c r="C36" s="11">
        <f t="shared" si="0"/>
        <v>8883.8387756514312</v>
      </c>
      <c r="D36" s="10">
        <f t="shared" si="1"/>
        <v>21205.104520175821</v>
      </c>
      <c r="E36" s="11">
        <f t="shared" si="2"/>
        <v>30088.943295827252</v>
      </c>
    </row>
    <row r="37" spans="1:5" ht="16.5" thickTop="1" thickBot="1" x14ac:dyDescent="0.3">
      <c r="A37" s="9">
        <f t="shared" si="4"/>
        <v>43831</v>
      </c>
      <c r="B37" s="10">
        <f t="shared" si="3"/>
        <v>2535728.7036454468</v>
      </c>
      <c r="C37" s="11">
        <f t="shared" si="0"/>
        <v>8957.8707654485297</v>
      </c>
      <c r="D37" s="10">
        <f t="shared" si="1"/>
        <v>21131.072530378722</v>
      </c>
      <c r="E37" s="11">
        <f t="shared" si="2"/>
        <v>30088.943295827252</v>
      </c>
    </row>
    <row r="38" spans="1:5" ht="16.5" thickTop="1" thickBot="1" x14ac:dyDescent="0.3">
      <c r="A38" s="9">
        <f t="shared" si="4"/>
        <v>43862</v>
      </c>
      <c r="B38" s="10">
        <f t="shared" si="3"/>
        <v>2526770.8328799983</v>
      </c>
      <c r="C38" s="11">
        <f t="shared" si="0"/>
        <v>9032.5196884939323</v>
      </c>
      <c r="D38" s="10">
        <f t="shared" si="1"/>
        <v>21056.42360733332</v>
      </c>
      <c r="E38" s="11">
        <f t="shared" si="2"/>
        <v>30088.943295827252</v>
      </c>
    </row>
    <row r="39" spans="1:5" ht="16.5" thickTop="1" thickBot="1" x14ac:dyDescent="0.3">
      <c r="A39" s="9">
        <f t="shared" si="4"/>
        <v>43891</v>
      </c>
      <c r="B39" s="10">
        <f t="shared" si="3"/>
        <v>2517738.3131915042</v>
      </c>
      <c r="C39" s="11">
        <f t="shared" si="0"/>
        <v>9107.7906858980496</v>
      </c>
      <c r="D39" s="10">
        <f t="shared" si="1"/>
        <v>20981.152609929202</v>
      </c>
      <c r="E39" s="11">
        <f t="shared" si="2"/>
        <v>30088.943295827252</v>
      </c>
    </row>
    <row r="40" spans="1:5" ht="16.5" thickTop="1" thickBot="1" x14ac:dyDescent="0.3">
      <c r="A40" s="9">
        <f t="shared" si="4"/>
        <v>43922</v>
      </c>
      <c r="B40" s="10">
        <f t="shared" si="3"/>
        <v>2508630.5225056061</v>
      </c>
      <c r="C40" s="11">
        <f t="shared" si="0"/>
        <v>9183.6889416138692</v>
      </c>
      <c r="D40" s="10">
        <f t="shared" si="1"/>
        <v>20905.254354213383</v>
      </c>
      <c r="E40" s="11">
        <f t="shared" si="2"/>
        <v>30088.943295827252</v>
      </c>
    </row>
    <row r="41" spans="1:5" ht="16.5" thickTop="1" thickBot="1" x14ac:dyDescent="0.3">
      <c r="A41" s="9">
        <f t="shared" si="4"/>
        <v>43952</v>
      </c>
      <c r="B41" s="10">
        <f t="shared" si="3"/>
        <v>2499446.8335639923</v>
      </c>
      <c r="C41" s="11">
        <f t="shared" si="0"/>
        <v>9260.2196827939806</v>
      </c>
      <c r="D41" s="10">
        <f t="shared" si="1"/>
        <v>20828.723613033271</v>
      </c>
      <c r="E41" s="11">
        <f t="shared" si="2"/>
        <v>30088.943295827252</v>
      </c>
    </row>
    <row r="42" spans="1:5" ht="16.5" thickTop="1" thickBot="1" x14ac:dyDescent="0.3">
      <c r="A42" s="9">
        <f t="shared" si="4"/>
        <v>43983</v>
      </c>
      <c r="B42" s="10">
        <f t="shared" si="3"/>
        <v>2490186.6138811982</v>
      </c>
      <c r="C42" s="11">
        <f t="shared" si="0"/>
        <v>9337.3881801505995</v>
      </c>
      <c r="D42" s="10">
        <f t="shared" si="1"/>
        <v>20751.555115676652</v>
      </c>
      <c r="E42" s="11">
        <f t="shared" si="2"/>
        <v>30088.943295827252</v>
      </c>
    </row>
    <row r="43" spans="1:5" ht="16.5" thickTop="1" thickBot="1" x14ac:dyDescent="0.3">
      <c r="A43" s="9">
        <f t="shared" si="4"/>
        <v>44013</v>
      </c>
      <c r="B43" s="10">
        <f t="shared" si="3"/>
        <v>2480849.2257010476</v>
      </c>
      <c r="C43" s="11">
        <f t="shared" si="0"/>
        <v>9415.1997483185223</v>
      </c>
      <c r="D43" s="10">
        <f t="shared" si="1"/>
        <v>20673.74354750873</v>
      </c>
      <c r="E43" s="11">
        <f t="shared" si="2"/>
        <v>30088.943295827252</v>
      </c>
    </row>
    <row r="44" spans="1:5" ht="16.5" thickTop="1" thickBot="1" x14ac:dyDescent="0.3">
      <c r="A44" s="9">
        <f t="shared" si="4"/>
        <v>44044</v>
      </c>
      <c r="B44" s="10">
        <f t="shared" si="3"/>
        <v>2471434.0259527289</v>
      </c>
      <c r="C44" s="11">
        <f t="shared" si="0"/>
        <v>9493.6597462211757</v>
      </c>
      <c r="D44" s="10">
        <f t="shared" si="1"/>
        <v>20595.283549606076</v>
      </c>
      <c r="E44" s="11">
        <f t="shared" si="2"/>
        <v>30088.943295827252</v>
      </c>
    </row>
    <row r="45" spans="1:5" ht="16.5" thickTop="1" thickBot="1" x14ac:dyDescent="0.3">
      <c r="A45" s="9">
        <f t="shared" si="4"/>
        <v>44075</v>
      </c>
      <c r="B45" s="10">
        <f t="shared" si="3"/>
        <v>2461940.3662065077</v>
      </c>
      <c r="C45" s="11">
        <f t="shared" si="0"/>
        <v>9572.7735774396861</v>
      </c>
      <c r="D45" s="10">
        <f t="shared" si="1"/>
        <v>20516.169718387566</v>
      </c>
      <c r="E45" s="11">
        <f t="shared" si="2"/>
        <v>30088.943295827252</v>
      </c>
    </row>
    <row r="46" spans="1:5" ht="16.5" thickTop="1" thickBot="1" x14ac:dyDescent="0.3">
      <c r="A46" s="9">
        <f t="shared" si="4"/>
        <v>44105</v>
      </c>
      <c r="B46" s="10">
        <f t="shared" si="3"/>
        <v>2452367.5926290681</v>
      </c>
      <c r="C46" s="11">
        <f t="shared" si="0"/>
        <v>9652.5466905850153</v>
      </c>
      <c r="D46" s="10">
        <f t="shared" si="1"/>
        <v>20436.396605242237</v>
      </c>
      <c r="E46" s="11">
        <f t="shared" si="2"/>
        <v>30088.943295827252</v>
      </c>
    </row>
    <row r="47" spans="1:5" ht="16.5" thickTop="1" thickBot="1" x14ac:dyDescent="0.3">
      <c r="A47" s="9">
        <f t="shared" si="4"/>
        <v>44136</v>
      </c>
      <c r="B47" s="10">
        <f t="shared" si="3"/>
        <v>2442715.045938483</v>
      </c>
      <c r="C47" s="11">
        <f t="shared" si="0"/>
        <v>9732.9845796732261</v>
      </c>
      <c r="D47" s="10">
        <f t="shared" si="1"/>
        <v>20355.958716154026</v>
      </c>
      <c r="E47" s="11">
        <f t="shared" si="2"/>
        <v>30088.943295827252</v>
      </c>
    </row>
    <row r="48" spans="1:5" ht="16.5" thickTop="1" thickBot="1" x14ac:dyDescent="0.3">
      <c r="A48" s="9">
        <f t="shared" si="4"/>
        <v>44166</v>
      </c>
      <c r="B48" s="10">
        <f t="shared" si="3"/>
        <v>2432982.0613588099</v>
      </c>
      <c r="C48" s="11">
        <f t="shared" si="0"/>
        <v>9814.092784503835</v>
      </c>
      <c r="D48" s="10">
        <f t="shared" si="1"/>
        <v>20274.850511323417</v>
      </c>
      <c r="E48" s="11">
        <f t="shared" si="2"/>
        <v>30088.943295827252</v>
      </c>
    </row>
    <row r="49" spans="1:5" ht="16.5" thickTop="1" thickBot="1" x14ac:dyDescent="0.3">
      <c r="A49" s="9">
        <f t="shared" si="4"/>
        <v>44197</v>
      </c>
      <c r="B49" s="10">
        <f t="shared" si="3"/>
        <v>2423167.968574306</v>
      </c>
      <c r="C49" s="11">
        <f t="shared" si="0"/>
        <v>9895.8768910413673</v>
      </c>
      <c r="D49" s="10">
        <f t="shared" si="1"/>
        <v>20193.066404785885</v>
      </c>
      <c r="E49" s="11">
        <f t="shared" si="2"/>
        <v>30088.943295827252</v>
      </c>
    </row>
    <row r="50" spans="1:5" ht="16.5" thickTop="1" thickBot="1" x14ac:dyDescent="0.3">
      <c r="A50" s="9">
        <f t="shared" si="4"/>
        <v>44228</v>
      </c>
      <c r="B50" s="10">
        <f t="shared" si="3"/>
        <v>2413272.0916832648</v>
      </c>
      <c r="C50" s="11">
        <f t="shared" si="0"/>
        <v>9978.3425318000445</v>
      </c>
      <c r="D50" s="10">
        <f t="shared" si="1"/>
        <v>20110.600764027207</v>
      </c>
      <c r="E50" s="11">
        <f t="shared" si="2"/>
        <v>30088.943295827252</v>
      </c>
    </row>
    <row r="51" spans="1:5" ht="16.5" thickTop="1" thickBot="1" x14ac:dyDescent="0.3">
      <c r="A51" s="9">
        <f t="shared" si="4"/>
        <v>44256</v>
      </c>
      <c r="B51" s="10">
        <f t="shared" si="3"/>
        <v>2403293.7491514646</v>
      </c>
      <c r="C51" s="11">
        <f t="shared" si="0"/>
        <v>10061.495386231712</v>
      </c>
      <c r="D51" s="10">
        <f t="shared" si="1"/>
        <v>20027.447909595539</v>
      </c>
      <c r="E51" s="11">
        <f t="shared" si="2"/>
        <v>30088.943295827252</v>
      </c>
    </row>
    <row r="52" spans="1:5" ht="16.5" thickTop="1" thickBot="1" x14ac:dyDescent="0.3">
      <c r="A52" s="9">
        <f t="shared" si="4"/>
        <v>44287</v>
      </c>
      <c r="B52" s="10">
        <f t="shared" si="3"/>
        <v>2393232.2537652329</v>
      </c>
      <c r="C52" s="11">
        <f t="shared" si="0"/>
        <v>10145.341181116975</v>
      </c>
      <c r="D52" s="10">
        <f t="shared" si="1"/>
        <v>19943.602114710277</v>
      </c>
      <c r="E52" s="11">
        <f t="shared" si="2"/>
        <v>30088.943295827252</v>
      </c>
    </row>
    <row r="53" spans="1:5" ht="16.5" thickTop="1" thickBot="1" x14ac:dyDescent="0.3">
      <c r="A53" s="9">
        <f t="shared" si="4"/>
        <v>44317</v>
      </c>
      <c r="B53" s="10">
        <f t="shared" si="3"/>
        <v>2383086.9125841158</v>
      </c>
      <c r="C53" s="11">
        <f t="shared" si="0"/>
        <v>10229.885690959618</v>
      </c>
      <c r="D53" s="10">
        <f t="shared" si="1"/>
        <v>19859.057604867634</v>
      </c>
      <c r="E53" s="11">
        <f t="shared" si="2"/>
        <v>30088.943295827252</v>
      </c>
    </row>
    <row r="54" spans="1:5" ht="16.5" thickTop="1" thickBot="1" x14ac:dyDescent="0.3">
      <c r="A54" s="9">
        <f t="shared" si="4"/>
        <v>44348</v>
      </c>
      <c r="B54" s="10">
        <f t="shared" si="3"/>
        <v>2372857.0268931561</v>
      </c>
      <c r="C54" s="11">
        <f t="shared" si="0"/>
        <v>10315.134738384284</v>
      </c>
      <c r="D54" s="10">
        <f t="shared" si="1"/>
        <v>19773.808557442968</v>
      </c>
      <c r="E54" s="11">
        <f t="shared" si="2"/>
        <v>30088.943295827252</v>
      </c>
    </row>
    <row r="55" spans="1:5" ht="16.5" thickTop="1" thickBot="1" x14ac:dyDescent="0.3">
      <c r="A55" s="9">
        <f t="shared" si="4"/>
        <v>44378</v>
      </c>
      <c r="B55" s="10">
        <f t="shared" si="3"/>
        <v>2362541.8921547718</v>
      </c>
      <c r="C55" s="11">
        <f t="shared" si="0"/>
        <v>10401.094194537483</v>
      </c>
      <c r="D55" s="10">
        <f t="shared" si="1"/>
        <v>19687.849101289768</v>
      </c>
      <c r="E55" s="11">
        <f t="shared" si="2"/>
        <v>30088.943295827252</v>
      </c>
    </row>
    <row r="56" spans="1:5" ht="16.5" thickTop="1" thickBot="1" x14ac:dyDescent="0.3">
      <c r="A56" s="9">
        <f t="shared" si="4"/>
        <v>44409</v>
      </c>
      <c r="B56" s="10">
        <f t="shared" si="3"/>
        <v>2352140.7979602343</v>
      </c>
      <c r="C56" s="11">
        <f t="shared" si="0"/>
        <v>10487.769979491964</v>
      </c>
      <c r="D56" s="10">
        <f t="shared" si="1"/>
        <v>19601.173316335287</v>
      </c>
      <c r="E56" s="11">
        <f t="shared" si="2"/>
        <v>30088.943295827252</v>
      </c>
    </row>
    <row r="57" spans="1:5" ht="16.5" thickTop="1" thickBot="1" x14ac:dyDescent="0.3">
      <c r="A57" s="9">
        <f t="shared" si="4"/>
        <v>44440</v>
      </c>
      <c r="B57" s="10">
        <f t="shared" si="3"/>
        <v>2341653.0279807425</v>
      </c>
      <c r="C57" s="11">
        <f t="shared" si="0"/>
        <v>10575.168062654397</v>
      </c>
      <c r="D57" s="10">
        <f t="shared" si="1"/>
        <v>19513.775233172855</v>
      </c>
      <c r="E57" s="11">
        <f t="shared" si="2"/>
        <v>30088.943295827252</v>
      </c>
    </row>
    <row r="58" spans="1:5" ht="16.5" thickTop="1" thickBot="1" x14ac:dyDescent="0.3">
      <c r="A58" s="9">
        <f t="shared" si="4"/>
        <v>44470</v>
      </c>
      <c r="B58" s="10">
        <f t="shared" si="3"/>
        <v>2331077.8599180882</v>
      </c>
      <c r="C58" s="11">
        <f t="shared" si="0"/>
        <v>10663.294463176517</v>
      </c>
      <c r="D58" s="10">
        <f t="shared" si="1"/>
        <v>19425.648832650735</v>
      </c>
      <c r="E58" s="11">
        <f t="shared" si="2"/>
        <v>30088.943295827252</v>
      </c>
    </row>
    <row r="59" spans="1:5" ht="16.5" thickTop="1" thickBot="1" x14ac:dyDescent="0.3">
      <c r="A59" s="9">
        <f t="shared" si="4"/>
        <v>44501</v>
      </c>
      <c r="B59" s="10">
        <f t="shared" si="3"/>
        <v>2320414.5654549114</v>
      </c>
      <c r="C59" s="11">
        <f t="shared" si="0"/>
        <v>10752.155250369655</v>
      </c>
      <c r="D59" s="10">
        <f t="shared" si="1"/>
        <v>19336.788045457597</v>
      </c>
      <c r="E59" s="11">
        <f t="shared" si="2"/>
        <v>30088.943295827252</v>
      </c>
    </row>
    <row r="60" spans="1:5" ht="16.5" thickTop="1" thickBot="1" x14ac:dyDescent="0.3">
      <c r="A60" s="9">
        <f t="shared" si="4"/>
        <v>44531</v>
      </c>
      <c r="B60" s="10">
        <f t="shared" si="3"/>
        <v>2309662.4102045419</v>
      </c>
      <c r="C60" s="11">
        <f t="shared" si="0"/>
        <v>10841.756544122734</v>
      </c>
      <c r="D60" s="10">
        <f t="shared" si="1"/>
        <v>19247.186751704518</v>
      </c>
      <c r="E60" s="11">
        <f t="shared" si="2"/>
        <v>30088.943295827252</v>
      </c>
    </row>
    <row r="61" spans="1:5" ht="16.5" thickTop="1" thickBot="1" x14ac:dyDescent="0.3">
      <c r="A61" s="9">
        <f t="shared" si="4"/>
        <v>44562</v>
      </c>
      <c r="B61" s="10">
        <f t="shared" si="3"/>
        <v>2298820.6536604189</v>
      </c>
      <c r="C61" s="11">
        <f t="shared" si="0"/>
        <v>10932.104515323761</v>
      </c>
      <c r="D61" s="10">
        <f t="shared" si="1"/>
        <v>19156.838780503491</v>
      </c>
      <c r="E61" s="11">
        <f t="shared" si="2"/>
        <v>30088.943295827252</v>
      </c>
    </row>
    <row r="62" spans="1:5" ht="16.5" thickTop="1" thickBot="1" x14ac:dyDescent="0.3">
      <c r="A62" s="9">
        <f t="shared" si="4"/>
        <v>44593</v>
      </c>
      <c r="B62" s="10">
        <f t="shared" si="3"/>
        <v>2287888.5491450951</v>
      </c>
      <c r="C62" s="11">
        <f t="shared" si="0"/>
        <v>11023.205386284793</v>
      </c>
      <c r="D62" s="10">
        <f t="shared" si="1"/>
        <v>19065.737909542459</v>
      </c>
      <c r="E62" s="11">
        <f t="shared" si="2"/>
        <v>30088.943295827252</v>
      </c>
    </row>
    <row r="63" spans="1:5" ht="16.5" thickTop="1" thickBot="1" x14ac:dyDescent="0.3">
      <c r="A63" s="9">
        <f t="shared" si="4"/>
        <v>44621</v>
      </c>
      <c r="B63" s="10">
        <f t="shared" si="3"/>
        <v>2276865.3437588103</v>
      </c>
      <c r="C63" s="11">
        <f t="shared" si="0"/>
        <v>11115.065431170497</v>
      </c>
      <c r="D63" s="10">
        <f t="shared" si="1"/>
        <v>18973.877864656755</v>
      </c>
      <c r="E63" s="11">
        <f t="shared" si="2"/>
        <v>30088.943295827252</v>
      </c>
    </row>
    <row r="64" spans="1:5" ht="16.5" thickTop="1" thickBot="1" x14ac:dyDescent="0.3">
      <c r="A64" s="9">
        <f t="shared" si="4"/>
        <v>44652</v>
      </c>
      <c r="B64" s="10">
        <f t="shared" si="3"/>
        <v>2265750.2783276397</v>
      </c>
      <c r="C64" s="11">
        <f t="shared" si="0"/>
        <v>11207.690976430255</v>
      </c>
      <c r="D64" s="10">
        <f t="shared" si="1"/>
        <v>18881.252319396997</v>
      </c>
      <c r="E64" s="11">
        <f t="shared" si="2"/>
        <v>30088.943295827252</v>
      </c>
    </row>
    <row r="65" spans="1:5" ht="16.5" thickTop="1" thickBot="1" x14ac:dyDescent="0.3">
      <c r="A65" s="9">
        <f t="shared" si="4"/>
        <v>44682</v>
      </c>
      <c r="B65" s="10">
        <f t="shared" si="3"/>
        <v>2254542.5873512095</v>
      </c>
      <c r="C65" s="11">
        <f t="shared" si="0"/>
        <v>11301.088401233839</v>
      </c>
      <c r="D65" s="10">
        <f t="shared" si="1"/>
        <v>18787.854894593413</v>
      </c>
      <c r="E65" s="11">
        <f t="shared" si="2"/>
        <v>30088.943295827252</v>
      </c>
    </row>
    <row r="66" spans="1:5" ht="16.5" thickTop="1" thickBot="1" x14ac:dyDescent="0.3">
      <c r="A66" s="9">
        <f t="shared" si="4"/>
        <v>44713</v>
      </c>
      <c r="B66" s="10">
        <f t="shared" si="3"/>
        <v>2243241.4989499757</v>
      </c>
      <c r="C66" s="11">
        <f t="shared" si="0"/>
        <v>11395.264137910784</v>
      </c>
      <c r="D66" s="10">
        <f t="shared" si="1"/>
        <v>18693.679157916467</v>
      </c>
      <c r="E66" s="11">
        <f t="shared" si="2"/>
        <v>30088.943295827252</v>
      </c>
    </row>
    <row r="67" spans="1:5" ht="16.5" thickTop="1" thickBot="1" x14ac:dyDescent="0.3">
      <c r="A67" s="9">
        <f t="shared" si="4"/>
        <v>44743</v>
      </c>
      <c r="B67" s="10">
        <f t="shared" si="3"/>
        <v>2231846.234812065</v>
      </c>
      <c r="C67" s="11">
        <f t="shared" si="0"/>
        <v>11490.224672393375</v>
      </c>
      <c r="D67" s="10">
        <f t="shared" si="1"/>
        <v>18598.718623433877</v>
      </c>
      <c r="E67" s="11">
        <f t="shared" si="2"/>
        <v>30088.943295827252</v>
      </c>
    </row>
    <row r="68" spans="1:5" ht="16.5" thickTop="1" thickBot="1" x14ac:dyDescent="0.3">
      <c r="A68" s="9">
        <f t="shared" si="4"/>
        <v>44774</v>
      </c>
      <c r="B68" s="10">
        <f t="shared" si="3"/>
        <v>2220356.0101396716</v>
      </c>
      <c r="C68" s="11">
        <f t="shared" ref="C68:C131" si="5">E68-D68</f>
        <v>11585.976544663321</v>
      </c>
      <c r="D68" s="10">
        <f t="shared" ref="D68:D131" si="6">B68*$G$3/12</f>
        <v>18502.966751163931</v>
      </c>
      <c r="E68" s="11">
        <f t="shared" ref="E68:E131" si="7">PMT($G$3/12,$G$5,-$G$2,0,0)</f>
        <v>30088.943295827252</v>
      </c>
    </row>
    <row r="69" spans="1:5" ht="16.5" thickTop="1" thickBot="1" x14ac:dyDescent="0.3">
      <c r="A69" s="9">
        <f t="shared" si="4"/>
        <v>44805</v>
      </c>
      <c r="B69" s="10">
        <f t="shared" ref="B69:B132" si="8">B68-C68</f>
        <v>2208770.0335950083</v>
      </c>
      <c r="C69" s="11">
        <f t="shared" si="5"/>
        <v>11682.52634920218</v>
      </c>
      <c r="D69" s="10">
        <f t="shared" si="6"/>
        <v>18406.416946625071</v>
      </c>
      <c r="E69" s="11">
        <f t="shared" si="7"/>
        <v>30088.943295827252</v>
      </c>
    </row>
    <row r="70" spans="1:5" ht="16.5" thickTop="1" thickBot="1" x14ac:dyDescent="0.3">
      <c r="A70" s="9">
        <f t="shared" ref="A70:A133" si="9">EDATE(A69,1)</f>
        <v>44835</v>
      </c>
      <c r="B70" s="10">
        <f t="shared" si="8"/>
        <v>2197087.507245806</v>
      </c>
      <c r="C70" s="11">
        <f t="shared" si="5"/>
        <v>11779.880735445535</v>
      </c>
      <c r="D70" s="10">
        <f t="shared" si="6"/>
        <v>18309.062560381717</v>
      </c>
      <c r="E70" s="11">
        <f t="shared" si="7"/>
        <v>30088.943295827252</v>
      </c>
    </row>
    <row r="71" spans="1:5" ht="16.5" thickTop="1" thickBot="1" x14ac:dyDescent="0.3">
      <c r="A71" s="9">
        <f t="shared" si="9"/>
        <v>44866</v>
      </c>
      <c r="B71" s="10">
        <f t="shared" si="8"/>
        <v>2185307.6265103603</v>
      </c>
      <c r="C71" s="11">
        <f t="shared" si="5"/>
        <v>11878.046408240916</v>
      </c>
      <c r="D71" s="10">
        <f t="shared" si="6"/>
        <v>18210.896887586336</v>
      </c>
      <c r="E71" s="11">
        <f t="shared" si="7"/>
        <v>30088.943295827252</v>
      </c>
    </row>
    <row r="72" spans="1:5" ht="16.5" thickTop="1" thickBot="1" x14ac:dyDescent="0.3">
      <c r="A72" s="9">
        <f t="shared" si="9"/>
        <v>44896</v>
      </c>
      <c r="B72" s="10">
        <f t="shared" si="8"/>
        <v>2173429.5801021196</v>
      </c>
      <c r="C72" s="11">
        <f t="shared" si="5"/>
        <v>11977.030128309587</v>
      </c>
      <c r="D72" s="10">
        <f t="shared" si="6"/>
        <v>18111.913167517665</v>
      </c>
      <c r="E72" s="11">
        <f t="shared" si="7"/>
        <v>30088.943295827252</v>
      </c>
    </row>
    <row r="73" spans="1:5" ht="16.5" thickTop="1" thickBot="1" x14ac:dyDescent="0.3">
      <c r="A73" s="9">
        <f t="shared" si="9"/>
        <v>44927</v>
      </c>
      <c r="B73" s="10">
        <f t="shared" si="8"/>
        <v>2161452.5499738101</v>
      </c>
      <c r="C73" s="11">
        <f t="shared" si="5"/>
        <v>12076.838712712168</v>
      </c>
      <c r="D73" s="10">
        <f t="shared" si="6"/>
        <v>18012.104583115084</v>
      </c>
      <c r="E73" s="11">
        <f t="shared" si="7"/>
        <v>30088.943295827252</v>
      </c>
    </row>
    <row r="74" spans="1:5" ht="16.5" thickTop="1" thickBot="1" x14ac:dyDescent="0.3">
      <c r="A74" s="9">
        <f t="shared" si="9"/>
        <v>44958</v>
      </c>
      <c r="B74" s="10">
        <f t="shared" si="8"/>
        <v>2149375.7112610978</v>
      </c>
      <c r="C74" s="11">
        <f t="shared" si="5"/>
        <v>12177.479035318102</v>
      </c>
      <c r="D74" s="10">
        <f t="shared" si="6"/>
        <v>17911.46426050915</v>
      </c>
      <c r="E74" s="11">
        <f t="shared" si="7"/>
        <v>30088.943295827252</v>
      </c>
    </row>
    <row r="75" spans="1:5" ht="16.5" thickTop="1" thickBot="1" x14ac:dyDescent="0.3">
      <c r="A75" s="9">
        <f t="shared" si="9"/>
        <v>44986</v>
      </c>
      <c r="B75" s="10">
        <f t="shared" si="8"/>
        <v>2137198.2322257799</v>
      </c>
      <c r="C75" s="11">
        <f t="shared" si="5"/>
        <v>12278.958027279084</v>
      </c>
      <c r="D75" s="10">
        <f t="shared" si="6"/>
        <v>17809.985268548167</v>
      </c>
      <c r="E75" s="11">
        <f t="shared" si="7"/>
        <v>30088.943295827252</v>
      </c>
    </row>
    <row r="76" spans="1:5" ht="16.5" thickTop="1" thickBot="1" x14ac:dyDescent="0.3">
      <c r="A76" s="9">
        <f t="shared" si="9"/>
        <v>45017</v>
      </c>
      <c r="B76" s="10">
        <f t="shared" si="8"/>
        <v>2124919.2741985009</v>
      </c>
      <c r="C76" s="11">
        <f t="shared" si="5"/>
        <v>12381.28267750641</v>
      </c>
      <c r="D76" s="10">
        <f t="shared" si="6"/>
        <v>17707.660618320842</v>
      </c>
      <c r="E76" s="11">
        <f t="shared" si="7"/>
        <v>30088.943295827252</v>
      </c>
    </row>
    <row r="77" spans="1:5" ht="16.5" thickTop="1" thickBot="1" x14ac:dyDescent="0.3">
      <c r="A77" s="9">
        <f t="shared" si="9"/>
        <v>45047</v>
      </c>
      <c r="B77" s="10">
        <f t="shared" si="8"/>
        <v>2112537.9915209943</v>
      </c>
      <c r="C77" s="11">
        <f t="shared" si="5"/>
        <v>12484.4600331523</v>
      </c>
      <c r="D77" s="10">
        <f t="shared" si="6"/>
        <v>17604.483262674952</v>
      </c>
      <c r="E77" s="11">
        <f t="shared" si="7"/>
        <v>30088.943295827252</v>
      </c>
    </row>
    <row r="78" spans="1:5" ht="16.5" thickTop="1" thickBot="1" x14ac:dyDescent="0.3">
      <c r="A78" s="9">
        <f t="shared" si="9"/>
        <v>45078</v>
      </c>
      <c r="B78" s="10">
        <f t="shared" si="8"/>
        <v>2100053.5314878421</v>
      </c>
      <c r="C78" s="11">
        <f t="shared" si="5"/>
        <v>12588.497200095233</v>
      </c>
      <c r="D78" s="10">
        <f t="shared" si="6"/>
        <v>17500.446095732019</v>
      </c>
      <c r="E78" s="11">
        <f t="shared" si="7"/>
        <v>30088.943295827252</v>
      </c>
    </row>
    <row r="79" spans="1:5" ht="16.5" thickTop="1" thickBot="1" x14ac:dyDescent="0.3">
      <c r="A79" s="9">
        <f t="shared" si="9"/>
        <v>45108</v>
      </c>
      <c r="B79" s="10">
        <f t="shared" si="8"/>
        <v>2087465.0342877468</v>
      </c>
      <c r="C79" s="11">
        <f t="shared" si="5"/>
        <v>12693.401343429363</v>
      </c>
      <c r="D79" s="10">
        <f t="shared" si="6"/>
        <v>17395.541952397889</v>
      </c>
      <c r="E79" s="11">
        <f t="shared" si="7"/>
        <v>30088.943295827252</v>
      </c>
    </row>
    <row r="80" spans="1:5" ht="16.5" thickTop="1" thickBot="1" x14ac:dyDescent="0.3">
      <c r="A80" s="9">
        <f t="shared" si="9"/>
        <v>45139</v>
      </c>
      <c r="B80" s="10">
        <f t="shared" si="8"/>
        <v>2074771.6329443173</v>
      </c>
      <c r="C80" s="11">
        <f t="shared" si="5"/>
        <v>12799.179687957938</v>
      </c>
      <c r="D80" s="10">
        <f t="shared" si="6"/>
        <v>17289.763607869314</v>
      </c>
      <c r="E80" s="11">
        <f t="shared" si="7"/>
        <v>30088.943295827252</v>
      </c>
    </row>
    <row r="81" spans="1:5" ht="16.5" thickTop="1" thickBot="1" x14ac:dyDescent="0.3">
      <c r="A81" s="9">
        <f t="shared" si="9"/>
        <v>45170</v>
      </c>
      <c r="B81" s="10">
        <f t="shared" si="8"/>
        <v>2061972.4532563593</v>
      </c>
      <c r="C81" s="11">
        <f t="shared" si="5"/>
        <v>12905.839518690922</v>
      </c>
      <c r="D81" s="10">
        <f t="shared" si="6"/>
        <v>17183.10377713633</v>
      </c>
      <c r="E81" s="11">
        <f t="shared" si="7"/>
        <v>30088.943295827252</v>
      </c>
    </row>
    <row r="82" spans="1:5" ht="16.5" thickTop="1" thickBot="1" x14ac:dyDescent="0.3">
      <c r="A82" s="9">
        <f t="shared" si="9"/>
        <v>45200</v>
      </c>
      <c r="B82" s="10">
        <f t="shared" si="8"/>
        <v>2049066.6137376684</v>
      </c>
      <c r="C82" s="11">
        <f t="shared" si="5"/>
        <v>13013.388181346683</v>
      </c>
      <c r="D82" s="10">
        <f t="shared" si="6"/>
        <v>17075.555114480569</v>
      </c>
      <c r="E82" s="11">
        <f t="shared" si="7"/>
        <v>30088.943295827252</v>
      </c>
    </row>
    <row r="83" spans="1:5" ht="16.5" thickTop="1" thickBot="1" x14ac:dyDescent="0.3">
      <c r="A83" s="9">
        <f t="shared" si="9"/>
        <v>45231</v>
      </c>
      <c r="B83" s="10">
        <f t="shared" si="8"/>
        <v>2036053.2255563217</v>
      </c>
      <c r="C83" s="11">
        <f t="shared" si="5"/>
        <v>13121.833082857902</v>
      </c>
      <c r="D83" s="10">
        <f t="shared" si="6"/>
        <v>16967.11021296935</v>
      </c>
      <c r="E83" s="11">
        <f t="shared" si="7"/>
        <v>30088.943295827252</v>
      </c>
    </row>
    <row r="84" spans="1:5" ht="16.5" thickTop="1" thickBot="1" x14ac:dyDescent="0.3">
      <c r="A84" s="9">
        <f t="shared" si="9"/>
        <v>45261</v>
      </c>
      <c r="B84" s="10">
        <f t="shared" si="8"/>
        <v>2022931.3924734637</v>
      </c>
      <c r="C84" s="11">
        <f t="shared" si="5"/>
        <v>13231.18169188172</v>
      </c>
      <c r="D84" s="10">
        <f t="shared" si="6"/>
        <v>16857.761603945532</v>
      </c>
      <c r="E84" s="11">
        <f t="shared" si="7"/>
        <v>30088.943295827252</v>
      </c>
    </row>
    <row r="85" spans="1:5" ht="16.5" thickTop="1" thickBot="1" x14ac:dyDescent="0.3">
      <c r="A85" s="9">
        <f t="shared" si="9"/>
        <v>45292</v>
      </c>
      <c r="B85" s="10">
        <f t="shared" si="8"/>
        <v>2009700.2107815819</v>
      </c>
      <c r="C85" s="11">
        <f t="shared" si="5"/>
        <v>13341.44153931407</v>
      </c>
      <c r="D85" s="10">
        <f t="shared" si="6"/>
        <v>16747.501756513182</v>
      </c>
      <c r="E85" s="11">
        <f t="shared" si="7"/>
        <v>30088.943295827252</v>
      </c>
    </row>
    <row r="86" spans="1:5" ht="16.5" thickTop="1" thickBot="1" x14ac:dyDescent="0.3">
      <c r="A86" s="9">
        <f t="shared" si="9"/>
        <v>45323</v>
      </c>
      <c r="B86" s="10">
        <f t="shared" si="8"/>
        <v>1996358.7692422678</v>
      </c>
      <c r="C86" s="11">
        <f t="shared" si="5"/>
        <v>13452.620218808352</v>
      </c>
      <c r="D86" s="10">
        <f t="shared" si="6"/>
        <v>16636.3230770189</v>
      </c>
      <c r="E86" s="11">
        <f t="shared" si="7"/>
        <v>30088.943295827252</v>
      </c>
    </row>
    <row r="87" spans="1:5" ht="16.5" thickTop="1" thickBot="1" x14ac:dyDescent="0.3">
      <c r="A87" s="9">
        <f t="shared" si="9"/>
        <v>45352</v>
      </c>
      <c r="B87" s="10">
        <f t="shared" si="8"/>
        <v>1982906.1490234595</v>
      </c>
      <c r="C87" s="11">
        <f t="shared" si="5"/>
        <v>13564.725387298422</v>
      </c>
      <c r="D87" s="10">
        <f t="shared" si="6"/>
        <v>16524.21790852883</v>
      </c>
      <c r="E87" s="11">
        <f t="shared" si="7"/>
        <v>30088.943295827252</v>
      </c>
    </row>
    <row r="88" spans="1:5" ht="16.5" thickTop="1" thickBot="1" x14ac:dyDescent="0.3">
      <c r="A88" s="9">
        <f t="shared" si="9"/>
        <v>45383</v>
      </c>
      <c r="B88" s="10">
        <f t="shared" si="8"/>
        <v>1969341.423636161</v>
      </c>
      <c r="C88" s="11">
        <f t="shared" si="5"/>
        <v>13677.76476552591</v>
      </c>
      <c r="D88" s="10">
        <f t="shared" si="6"/>
        <v>16411.178530301342</v>
      </c>
      <c r="E88" s="11">
        <f t="shared" si="7"/>
        <v>30088.943295827252</v>
      </c>
    </row>
    <row r="89" spans="1:5" ht="16.5" thickTop="1" thickBot="1" x14ac:dyDescent="0.3">
      <c r="A89" s="9">
        <f t="shared" si="9"/>
        <v>45413</v>
      </c>
      <c r="B89" s="10">
        <f t="shared" si="8"/>
        <v>1955663.6588706351</v>
      </c>
      <c r="C89" s="11">
        <f t="shared" si="5"/>
        <v>13791.746138571958</v>
      </c>
      <c r="D89" s="10">
        <f t="shared" si="6"/>
        <v>16297.197157255294</v>
      </c>
      <c r="E89" s="11">
        <f t="shared" si="7"/>
        <v>30088.943295827252</v>
      </c>
    </row>
    <row r="90" spans="1:5" ht="16.5" thickTop="1" thickBot="1" x14ac:dyDescent="0.3">
      <c r="A90" s="9">
        <f t="shared" si="9"/>
        <v>45444</v>
      </c>
      <c r="B90" s="10">
        <f t="shared" si="8"/>
        <v>1941871.9127320631</v>
      </c>
      <c r="C90" s="11">
        <f t="shared" si="5"/>
        <v>13906.677356393391</v>
      </c>
      <c r="D90" s="10">
        <f t="shared" si="6"/>
        <v>16182.265939433861</v>
      </c>
      <c r="E90" s="11">
        <f t="shared" si="7"/>
        <v>30088.943295827252</v>
      </c>
    </row>
    <row r="91" spans="1:5" ht="16.5" thickTop="1" thickBot="1" x14ac:dyDescent="0.3">
      <c r="A91" s="9">
        <f t="shared" si="9"/>
        <v>45474</v>
      </c>
      <c r="B91" s="10">
        <f t="shared" si="8"/>
        <v>1927965.2353756698</v>
      </c>
      <c r="C91" s="11">
        <f t="shared" si="5"/>
        <v>14022.566334363335</v>
      </c>
      <c r="D91" s="10">
        <f t="shared" si="6"/>
        <v>16066.376961463917</v>
      </c>
      <c r="E91" s="11">
        <f t="shared" si="7"/>
        <v>30088.943295827252</v>
      </c>
    </row>
    <row r="92" spans="1:5" ht="16.5" thickTop="1" thickBot="1" x14ac:dyDescent="0.3">
      <c r="A92" s="9">
        <f t="shared" si="9"/>
        <v>45505</v>
      </c>
      <c r="B92" s="10">
        <f t="shared" si="8"/>
        <v>1913942.6690413065</v>
      </c>
      <c r="C92" s="11">
        <f t="shared" si="5"/>
        <v>14139.421053816362</v>
      </c>
      <c r="D92" s="10">
        <f t="shared" si="6"/>
        <v>15949.522242010889</v>
      </c>
      <c r="E92" s="11">
        <f t="shared" si="7"/>
        <v>30088.943295827252</v>
      </c>
    </row>
    <row r="93" spans="1:5" ht="16.5" thickTop="1" thickBot="1" x14ac:dyDescent="0.3">
      <c r="A93" s="9">
        <f t="shared" si="9"/>
        <v>45536</v>
      </c>
      <c r="B93" s="10">
        <f t="shared" si="8"/>
        <v>1899803.2479874901</v>
      </c>
      <c r="C93" s="11">
        <f t="shared" si="5"/>
        <v>14257.249562598166</v>
      </c>
      <c r="D93" s="10">
        <f t="shared" si="6"/>
        <v>15831.693733229085</v>
      </c>
      <c r="E93" s="11">
        <f t="shared" si="7"/>
        <v>30088.943295827252</v>
      </c>
    </row>
    <row r="94" spans="1:5" ht="16.5" thickTop="1" thickBot="1" x14ac:dyDescent="0.3">
      <c r="A94" s="9">
        <f t="shared" si="9"/>
        <v>45566</v>
      </c>
      <c r="B94" s="10">
        <f t="shared" si="8"/>
        <v>1885545.9984248921</v>
      </c>
      <c r="C94" s="11">
        <f t="shared" si="5"/>
        <v>14376.059975619815</v>
      </c>
      <c r="D94" s="10">
        <f t="shared" si="6"/>
        <v>15712.883320207437</v>
      </c>
      <c r="E94" s="11">
        <f t="shared" si="7"/>
        <v>30088.943295827252</v>
      </c>
    </row>
    <row r="95" spans="1:5" ht="16.5" thickTop="1" thickBot="1" x14ac:dyDescent="0.3">
      <c r="A95" s="9">
        <f t="shared" si="9"/>
        <v>45597</v>
      </c>
      <c r="B95" s="10">
        <f t="shared" si="8"/>
        <v>1871169.9384492722</v>
      </c>
      <c r="C95" s="11">
        <f t="shared" si="5"/>
        <v>14495.86047541665</v>
      </c>
      <c r="D95" s="10">
        <f t="shared" si="6"/>
        <v>15593.082820410602</v>
      </c>
      <c r="E95" s="11">
        <f t="shared" si="7"/>
        <v>30088.943295827252</v>
      </c>
    </row>
    <row r="96" spans="1:5" ht="16.5" thickTop="1" thickBot="1" x14ac:dyDescent="0.3">
      <c r="A96" s="9">
        <f t="shared" si="9"/>
        <v>45627</v>
      </c>
      <c r="B96" s="10">
        <f t="shared" si="8"/>
        <v>1856674.0779738554</v>
      </c>
      <c r="C96" s="11">
        <f t="shared" si="5"/>
        <v>14616.659312711789</v>
      </c>
      <c r="D96" s="10">
        <f t="shared" si="6"/>
        <v>15472.283983115463</v>
      </c>
      <c r="E96" s="11">
        <f t="shared" si="7"/>
        <v>30088.943295827252</v>
      </c>
    </row>
    <row r="97" spans="1:5" ht="16.5" thickTop="1" thickBot="1" x14ac:dyDescent="0.3">
      <c r="A97" s="9">
        <f t="shared" si="9"/>
        <v>45658</v>
      </c>
      <c r="B97" s="10">
        <f t="shared" si="8"/>
        <v>1842057.4186611436</v>
      </c>
      <c r="C97" s="11">
        <f t="shared" si="5"/>
        <v>14738.464806984388</v>
      </c>
      <c r="D97" s="10">
        <f t="shared" si="6"/>
        <v>15350.478488842864</v>
      </c>
      <c r="E97" s="11">
        <f t="shared" si="7"/>
        <v>30088.943295827252</v>
      </c>
    </row>
    <row r="98" spans="1:5" ht="16.5" thickTop="1" thickBot="1" x14ac:dyDescent="0.3">
      <c r="A98" s="9">
        <f t="shared" si="9"/>
        <v>45689</v>
      </c>
      <c r="B98" s="10">
        <f t="shared" si="8"/>
        <v>1827318.9538541592</v>
      </c>
      <c r="C98" s="11">
        <f t="shared" si="5"/>
        <v>14861.285347042591</v>
      </c>
      <c r="D98" s="10">
        <f t="shared" si="6"/>
        <v>15227.657948784661</v>
      </c>
      <c r="E98" s="11">
        <f t="shared" si="7"/>
        <v>30088.943295827252</v>
      </c>
    </row>
    <row r="99" spans="1:5" ht="16.5" thickTop="1" thickBot="1" x14ac:dyDescent="0.3">
      <c r="A99" s="9">
        <f t="shared" si="9"/>
        <v>45717</v>
      </c>
      <c r="B99" s="10">
        <f t="shared" si="8"/>
        <v>1812457.6685071166</v>
      </c>
      <c r="C99" s="11">
        <f t="shared" si="5"/>
        <v>14985.12939160128</v>
      </c>
      <c r="D99" s="10">
        <f t="shared" si="6"/>
        <v>15103.813904225972</v>
      </c>
      <c r="E99" s="11">
        <f t="shared" si="7"/>
        <v>30088.943295827252</v>
      </c>
    </row>
    <row r="100" spans="1:5" ht="16.5" thickTop="1" thickBot="1" x14ac:dyDescent="0.3">
      <c r="A100" s="9">
        <f t="shared" si="9"/>
        <v>45748</v>
      </c>
      <c r="B100" s="10">
        <f t="shared" si="8"/>
        <v>1797472.5391155153</v>
      </c>
      <c r="C100" s="11">
        <f t="shared" si="5"/>
        <v>15110.005469864622</v>
      </c>
      <c r="D100" s="10">
        <f t="shared" si="6"/>
        <v>14978.93782596263</v>
      </c>
      <c r="E100" s="11">
        <f t="shared" si="7"/>
        <v>30088.943295827252</v>
      </c>
    </row>
    <row r="101" spans="1:5" ht="16.5" thickTop="1" thickBot="1" x14ac:dyDescent="0.3">
      <c r="A101" s="9">
        <f t="shared" si="9"/>
        <v>45778</v>
      </c>
      <c r="B101" s="10">
        <f t="shared" si="8"/>
        <v>1782362.5336456506</v>
      </c>
      <c r="C101" s="11">
        <f t="shared" si="5"/>
        <v>15235.922182113494</v>
      </c>
      <c r="D101" s="10">
        <f t="shared" si="6"/>
        <v>14853.021113713758</v>
      </c>
      <c r="E101" s="11">
        <f t="shared" si="7"/>
        <v>30088.943295827252</v>
      </c>
    </row>
    <row r="102" spans="1:5" ht="16.5" thickTop="1" thickBot="1" x14ac:dyDescent="0.3">
      <c r="A102" s="9">
        <f t="shared" si="9"/>
        <v>45809</v>
      </c>
      <c r="B102" s="10">
        <f t="shared" si="8"/>
        <v>1767126.6114635372</v>
      </c>
      <c r="C102" s="11">
        <f t="shared" si="5"/>
        <v>15362.888200297775</v>
      </c>
      <c r="D102" s="10">
        <f t="shared" si="6"/>
        <v>14726.055095529477</v>
      </c>
      <c r="E102" s="11">
        <f t="shared" si="7"/>
        <v>30088.943295827252</v>
      </c>
    </row>
    <row r="103" spans="1:5" ht="16.5" thickTop="1" thickBot="1" x14ac:dyDescent="0.3">
      <c r="A103" s="9">
        <f t="shared" si="9"/>
        <v>45839</v>
      </c>
      <c r="B103" s="10">
        <f t="shared" si="8"/>
        <v>1751763.7232632395</v>
      </c>
      <c r="C103" s="11">
        <f t="shared" si="5"/>
        <v>15490.912268633589</v>
      </c>
      <c r="D103" s="10">
        <f t="shared" si="6"/>
        <v>14598.031027193663</v>
      </c>
      <c r="E103" s="11">
        <f t="shared" si="7"/>
        <v>30088.943295827252</v>
      </c>
    </row>
    <row r="104" spans="1:5" ht="16.5" thickTop="1" thickBot="1" x14ac:dyDescent="0.3">
      <c r="A104" s="9">
        <f t="shared" si="9"/>
        <v>45870</v>
      </c>
      <c r="B104" s="10">
        <f t="shared" si="8"/>
        <v>1736272.810994606</v>
      </c>
      <c r="C104" s="11">
        <f t="shared" si="5"/>
        <v>15620.003204205534</v>
      </c>
      <c r="D104" s="10">
        <f t="shared" si="6"/>
        <v>14468.940091621718</v>
      </c>
      <c r="E104" s="11">
        <f t="shared" si="7"/>
        <v>30088.943295827252</v>
      </c>
    </row>
    <row r="105" spans="1:5" ht="16.5" thickTop="1" thickBot="1" x14ac:dyDescent="0.3">
      <c r="A105" s="9">
        <f t="shared" si="9"/>
        <v>45901</v>
      </c>
      <c r="B105" s="10">
        <f t="shared" si="8"/>
        <v>1720652.8077904005</v>
      </c>
      <c r="C105" s="11">
        <f t="shared" si="5"/>
        <v>15750.169897573913</v>
      </c>
      <c r="D105" s="10">
        <f t="shared" si="6"/>
        <v>14338.773398253339</v>
      </c>
      <c r="E105" s="11">
        <f t="shared" si="7"/>
        <v>30088.943295827252</v>
      </c>
    </row>
    <row r="106" spans="1:5" ht="16.5" thickTop="1" thickBot="1" x14ac:dyDescent="0.3">
      <c r="A106" s="9">
        <f t="shared" si="9"/>
        <v>45931</v>
      </c>
      <c r="B106" s="10">
        <f t="shared" si="8"/>
        <v>1704902.6378928265</v>
      </c>
      <c r="C106" s="11">
        <f t="shared" si="5"/>
        <v>15881.421313387031</v>
      </c>
      <c r="D106" s="10">
        <f t="shared" si="6"/>
        <v>14207.521982440221</v>
      </c>
      <c r="E106" s="11">
        <f t="shared" si="7"/>
        <v>30088.943295827252</v>
      </c>
    </row>
    <row r="107" spans="1:5" ht="16.5" thickTop="1" thickBot="1" x14ac:dyDescent="0.3">
      <c r="A107" s="9">
        <f t="shared" si="9"/>
        <v>45962</v>
      </c>
      <c r="B107" s="10">
        <f t="shared" si="8"/>
        <v>1689021.2165794394</v>
      </c>
      <c r="C107" s="11">
        <f t="shared" si="5"/>
        <v>16013.766490998591</v>
      </c>
      <c r="D107" s="10">
        <f t="shared" si="6"/>
        <v>14075.176804828661</v>
      </c>
      <c r="E107" s="11">
        <f t="shared" si="7"/>
        <v>30088.943295827252</v>
      </c>
    </row>
    <row r="108" spans="1:5" ht="16.5" thickTop="1" thickBot="1" x14ac:dyDescent="0.3">
      <c r="A108" s="9">
        <f t="shared" si="9"/>
        <v>45992</v>
      </c>
      <c r="B108" s="10">
        <f t="shared" si="8"/>
        <v>1673007.4500884407</v>
      </c>
      <c r="C108" s="11">
        <f t="shared" si="5"/>
        <v>16147.214545090246</v>
      </c>
      <c r="D108" s="10">
        <f t="shared" si="6"/>
        <v>13941.728750737006</v>
      </c>
      <c r="E108" s="11">
        <f t="shared" si="7"/>
        <v>30088.943295827252</v>
      </c>
    </row>
    <row r="109" spans="1:5" ht="16.5" thickTop="1" thickBot="1" x14ac:dyDescent="0.3">
      <c r="A109" s="9">
        <f t="shared" si="9"/>
        <v>46023</v>
      </c>
      <c r="B109" s="10">
        <f t="shared" si="8"/>
        <v>1656860.2355433505</v>
      </c>
      <c r="C109" s="11">
        <f t="shared" si="5"/>
        <v>16281.77466629933</v>
      </c>
      <c r="D109" s="10">
        <f t="shared" si="6"/>
        <v>13807.168629527921</v>
      </c>
      <c r="E109" s="11">
        <f t="shared" si="7"/>
        <v>30088.943295827252</v>
      </c>
    </row>
    <row r="110" spans="1:5" ht="16.5" thickTop="1" thickBot="1" x14ac:dyDescent="0.3">
      <c r="A110" s="9">
        <f t="shared" si="9"/>
        <v>46054</v>
      </c>
      <c r="B110" s="10">
        <f t="shared" si="8"/>
        <v>1640578.4608770511</v>
      </c>
      <c r="C110" s="11">
        <f t="shared" si="5"/>
        <v>16417.456121851828</v>
      </c>
      <c r="D110" s="10">
        <f t="shared" si="6"/>
        <v>13671.487173975425</v>
      </c>
      <c r="E110" s="11">
        <f t="shared" si="7"/>
        <v>30088.943295827252</v>
      </c>
    </row>
    <row r="111" spans="1:5" ht="16.5" thickTop="1" thickBot="1" x14ac:dyDescent="0.3">
      <c r="A111" s="9">
        <f t="shared" si="9"/>
        <v>46082</v>
      </c>
      <c r="B111" s="10">
        <f t="shared" si="8"/>
        <v>1624161.0047551992</v>
      </c>
      <c r="C111" s="11">
        <f t="shared" si="5"/>
        <v>16554.268256200594</v>
      </c>
      <c r="D111" s="10">
        <f t="shared" si="6"/>
        <v>13534.67503962666</v>
      </c>
      <c r="E111" s="11">
        <f t="shared" si="7"/>
        <v>30088.943295827252</v>
      </c>
    </row>
    <row r="112" spans="1:5" ht="16.5" thickTop="1" thickBot="1" x14ac:dyDescent="0.3">
      <c r="A112" s="9">
        <f t="shared" si="9"/>
        <v>46113</v>
      </c>
      <c r="B112" s="10">
        <f t="shared" si="8"/>
        <v>1607606.7364989985</v>
      </c>
      <c r="C112" s="11">
        <f t="shared" si="5"/>
        <v>16692.22049166893</v>
      </c>
      <c r="D112" s="10">
        <f t="shared" si="6"/>
        <v>13396.722804158322</v>
      </c>
      <c r="E112" s="11">
        <f t="shared" si="7"/>
        <v>30088.943295827252</v>
      </c>
    </row>
    <row r="113" spans="1:5" ht="16.5" thickTop="1" thickBot="1" x14ac:dyDescent="0.3">
      <c r="A113" s="9">
        <f t="shared" si="9"/>
        <v>46143</v>
      </c>
      <c r="B113" s="10">
        <f t="shared" si="8"/>
        <v>1590914.5160073296</v>
      </c>
      <c r="C113" s="11">
        <f t="shared" si="5"/>
        <v>16831.322329099501</v>
      </c>
      <c r="D113" s="10">
        <f t="shared" si="6"/>
        <v>13257.620966727749</v>
      </c>
      <c r="E113" s="11">
        <f t="shared" si="7"/>
        <v>30088.943295827252</v>
      </c>
    </row>
    <row r="114" spans="1:5" ht="16.5" thickTop="1" thickBot="1" x14ac:dyDescent="0.3">
      <c r="A114" s="9">
        <f t="shared" si="9"/>
        <v>46174</v>
      </c>
      <c r="B114" s="10">
        <f t="shared" si="8"/>
        <v>1574083.19367823</v>
      </c>
      <c r="C114" s="11">
        <f t="shared" si="5"/>
        <v>16971.58334850867</v>
      </c>
      <c r="D114" s="10">
        <f t="shared" si="6"/>
        <v>13117.359947318584</v>
      </c>
      <c r="E114" s="11">
        <f t="shared" si="7"/>
        <v>30088.943295827252</v>
      </c>
    </row>
    <row r="115" spans="1:5" ht="16.5" thickTop="1" thickBot="1" x14ac:dyDescent="0.3">
      <c r="A115" s="9">
        <f t="shared" si="9"/>
        <v>46204</v>
      </c>
      <c r="B115" s="10">
        <f t="shared" si="8"/>
        <v>1557111.6103297214</v>
      </c>
      <c r="C115" s="11">
        <f t="shared" si="5"/>
        <v>17113.013209746241</v>
      </c>
      <c r="D115" s="10">
        <f t="shared" si="6"/>
        <v>12975.930086081011</v>
      </c>
      <c r="E115" s="11">
        <f t="shared" si="7"/>
        <v>30088.943295827252</v>
      </c>
    </row>
    <row r="116" spans="1:5" ht="16.5" thickTop="1" thickBot="1" x14ac:dyDescent="0.3">
      <c r="A116" s="9">
        <f t="shared" si="9"/>
        <v>46235</v>
      </c>
      <c r="B116" s="10">
        <f t="shared" si="8"/>
        <v>1539998.5971199751</v>
      </c>
      <c r="C116" s="11">
        <f t="shared" si="5"/>
        <v>17255.621653160793</v>
      </c>
      <c r="D116" s="10">
        <f t="shared" si="6"/>
        <v>12833.32164266646</v>
      </c>
      <c r="E116" s="11">
        <f t="shared" si="7"/>
        <v>30088.943295827252</v>
      </c>
    </row>
    <row r="117" spans="1:5" ht="16.5" thickTop="1" thickBot="1" x14ac:dyDescent="0.3">
      <c r="A117" s="9">
        <f t="shared" si="9"/>
        <v>46266</v>
      </c>
      <c r="B117" s="10">
        <f t="shared" si="8"/>
        <v>1522742.9754668144</v>
      </c>
      <c r="C117" s="11">
        <f t="shared" si="5"/>
        <v>17399.418500270462</v>
      </c>
      <c r="D117" s="10">
        <f t="shared" si="6"/>
        <v>12689.524795556788</v>
      </c>
      <c r="E117" s="11">
        <f t="shared" si="7"/>
        <v>30088.943295827252</v>
      </c>
    </row>
    <row r="118" spans="1:5" ht="16.5" thickTop="1" thickBot="1" x14ac:dyDescent="0.3">
      <c r="A118" s="9">
        <f t="shared" si="9"/>
        <v>46296</v>
      </c>
      <c r="B118" s="10">
        <f t="shared" si="8"/>
        <v>1505343.5569665439</v>
      </c>
      <c r="C118" s="11">
        <f t="shared" si="5"/>
        <v>17544.413654439384</v>
      </c>
      <c r="D118" s="10">
        <f t="shared" si="6"/>
        <v>12544.529641387866</v>
      </c>
      <c r="E118" s="11">
        <f t="shared" si="7"/>
        <v>30088.943295827252</v>
      </c>
    </row>
    <row r="119" spans="1:5" ht="16.5" thickTop="1" thickBot="1" x14ac:dyDescent="0.3">
      <c r="A119" s="9">
        <f t="shared" si="9"/>
        <v>46327</v>
      </c>
      <c r="B119" s="10">
        <f t="shared" si="8"/>
        <v>1487799.1433121045</v>
      </c>
      <c r="C119" s="11">
        <f t="shared" si="5"/>
        <v>17690.617101559714</v>
      </c>
      <c r="D119" s="10">
        <f t="shared" si="6"/>
        <v>12398.326194267538</v>
      </c>
      <c r="E119" s="11">
        <f t="shared" si="7"/>
        <v>30088.943295827252</v>
      </c>
    </row>
    <row r="120" spans="1:5" ht="16.5" thickTop="1" thickBot="1" x14ac:dyDescent="0.3">
      <c r="A120" s="9">
        <f t="shared" si="9"/>
        <v>46357</v>
      </c>
      <c r="B120" s="10">
        <f t="shared" si="8"/>
        <v>1470108.5262105449</v>
      </c>
      <c r="C120" s="11">
        <f t="shared" si="5"/>
        <v>17838.038910739378</v>
      </c>
      <c r="D120" s="10">
        <f t="shared" si="6"/>
        <v>12250.904385087873</v>
      </c>
      <c r="E120" s="11">
        <f t="shared" si="7"/>
        <v>30088.943295827252</v>
      </c>
    </row>
    <row r="121" spans="1:5" ht="16.5" thickTop="1" thickBot="1" x14ac:dyDescent="0.3">
      <c r="A121" s="9">
        <f t="shared" si="9"/>
        <v>46388</v>
      </c>
      <c r="B121" s="10">
        <f t="shared" si="8"/>
        <v>1452270.4872998055</v>
      </c>
      <c r="C121" s="11">
        <f t="shared" si="5"/>
        <v>17986.689234995538</v>
      </c>
      <c r="D121" s="10">
        <f t="shared" si="6"/>
        <v>12102.254060831714</v>
      </c>
      <c r="E121" s="11">
        <f t="shared" si="7"/>
        <v>30088.943295827252</v>
      </c>
    </row>
    <row r="122" spans="1:5" ht="16.5" thickTop="1" thickBot="1" x14ac:dyDescent="0.3">
      <c r="A122" s="9">
        <f t="shared" si="9"/>
        <v>46419</v>
      </c>
      <c r="B122" s="10">
        <f t="shared" si="8"/>
        <v>1434283.79806481</v>
      </c>
      <c r="C122" s="11">
        <f t="shared" si="5"/>
        <v>18136.578311953832</v>
      </c>
      <c r="D122" s="10">
        <f t="shared" si="6"/>
        <v>11952.364983873418</v>
      </c>
      <c r="E122" s="11">
        <f t="shared" si="7"/>
        <v>30088.943295827252</v>
      </c>
    </row>
    <row r="123" spans="1:5" ht="16.5" thickTop="1" thickBot="1" x14ac:dyDescent="0.3">
      <c r="A123" s="9">
        <f t="shared" si="9"/>
        <v>46447</v>
      </c>
      <c r="B123" s="10">
        <f t="shared" si="8"/>
        <v>1416147.2197528561</v>
      </c>
      <c r="C123" s="11">
        <f t="shared" si="5"/>
        <v>18287.71646455345</v>
      </c>
      <c r="D123" s="10">
        <f t="shared" si="6"/>
        <v>11801.226831273802</v>
      </c>
      <c r="E123" s="11">
        <f t="shared" si="7"/>
        <v>30088.943295827252</v>
      </c>
    </row>
    <row r="124" spans="1:5" ht="16.5" thickTop="1" thickBot="1" x14ac:dyDescent="0.3">
      <c r="A124" s="9">
        <f t="shared" si="9"/>
        <v>46478</v>
      </c>
      <c r="B124" s="10">
        <f t="shared" si="8"/>
        <v>1397859.5032883026</v>
      </c>
      <c r="C124" s="11">
        <f t="shared" si="5"/>
        <v>18440.114101758067</v>
      </c>
      <c r="D124" s="10">
        <f t="shared" si="6"/>
        <v>11648.829194069187</v>
      </c>
      <c r="E124" s="11">
        <f t="shared" si="7"/>
        <v>30088.943295827252</v>
      </c>
    </row>
    <row r="125" spans="1:5" ht="16.5" thickTop="1" thickBot="1" x14ac:dyDescent="0.3">
      <c r="A125" s="9">
        <f t="shared" si="9"/>
        <v>46508</v>
      </c>
      <c r="B125" s="10">
        <f t="shared" si="8"/>
        <v>1379419.3891865446</v>
      </c>
      <c r="C125" s="11">
        <f t="shared" si="5"/>
        <v>18593.781719272716</v>
      </c>
      <c r="D125" s="10">
        <f t="shared" si="6"/>
        <v>11495.161576554538</v>
      </c>
      <c r="E125" s="11">
        <f t="shared" si="7"/>
        <v>30088.943295827252</v>
      </c>
    </row>
    <row r="126" spans="1:5" ht="16.5" thickTop="1" thickBot="1" x14ac:dyDescent="0.3">
      <c r="A126" s="9">
        <f t="shared" si="9"/>
        <v>46539</v>
      </c>
      <c r="B126" s="10">
        <f t="shared" si="8"/>
        <v>1360825.6074672719</v>
      </c>
      <c r="C126" s="11">
        <f t="shared" si="5"/>
        <v>18748.729900266655</v>
      </c>
      <c r="D126" s="10">
        <f t="shared" si="6"/>
        <v>11340.213395560599</v>
      </c>
      <c r="E126" s="11">
        <f t="shared" si="7"/>
        <v>30088.943295827252</v>
      </c>
    </row>
    <row r="127" spans="1:5" ht="16.5" thickTop="1" thickBot="1" x14ac:dyDescent="0.3">
      <c r="A127" s="9">
        <f t="shared" si="9"/>
        <v>46569</v>
      </c>
      <c r="B127" s="10">
        <f t="shared" si="8"/>
        <v>1342076.8775670051</v>
      </c>
      <c r="C127" s="11">
        <f t="shared" si="5"/>
        <v>18904.969316102208</v>
      </c>
      <c r="D127" s="10">
        <f t="shared" si="6"/>
        <v>11183.973979725044</v>
      </c>
      <c r="E127" s="11">
        <f t="shared" si="7"/>
        <v>30088.943295827252</v>
      </c>
    </row>
    <row r="128" spans="1:5" ht="16.5" thickTop="1" thickBot="1" x14ac:dyDescent="0.3">
      <c r="A128" s="9">
        <f t="shared" si="9"/>
        <v>46600</v>
      </c>
      <c r="B128" s="10">
        <f t="shared" si="8"/>
        <v>1323171.908250903</v>
      </c>
      <c r="C128" s="11">
        <f t="shared" si="5"/>
        <v>19062.510727069726</v>
      </c>
      <c r="D128" s="10">
        <f t="shared" si="6"/>
        <v>11026.432568757526</v>
      </c>
      <c r="E128" s="11">
        <f t="shared" si="7"/>
        <v>30088.943295827252</v>
      </c>
    </row>
    <row r="129" spans="1:5" ht="16.5" thickTop="1" thickBot="1" x14ac:dyDescent="0.3">
      <c r="A129" s="9">
        <f t="shared" si="9"/>
        <v>46631</v>
      </c>
      <c r="B129" s="10">
        <f t="shared" si="8"/>
        <v>1304109.3975238332</v>
      </c>
      <c r="C129" s="11">
        <f t="shared" si="5"/>
        <v>19221.364983128638</v>
      </c>
      <c r="D129" s="10">
        <f t="shared" si="6"/>
        <v>10867.578312698612</v>
      </c>
      <c r="E129" s="11">
        <f t="shared" si="7"/>
        <v>30088.943295827252</v>
      </c>
    </row>
    <row r="130" spans="1:5" ht="16.5" thickTop="1" thickBot="1" x14ac:dyDescent="0.3">
      <c r="A130" s="9">
        <f t="shared" si="9"/>
        <v>46661</v>
      </c>
      <c r="B130" s="10">
        <f t="shared" si="8"/>
        <v>1284888.0325407046</v>
      </c>
      <c r="C130" s="11">
        <f t="shared" si="5"/>
        <v>19381.543024654711</v>
      </c>
      <c r="D130" s="10">
        <f t="shared" si="6"/>
        <v>10707.400271172539</v>
      </c>
      <c r="E130" s="11">
        <f t="shared" si="7"/>
        <v>30088.943295827252</v>
      </c>
    </row>
    <row r="131" spans="1:5" ht="16.5" thickTop="1" thickBot="1" x14ac:dyDescent="0.3">
      <c r="A131" s="9">
        <f t="shared" si="9"/>
        <v>46692</v>
      </c>
      <c r="B131" s="10">
        <f t="shared" si="8"/>
        <v>1265506.4895160499</v>
      </c>
      <c r="C131" s="11">
        <f t="shared" si="5"/>
        <v>19543.055883193505</v>
      </c>
      <c r="D131" s="10">
        <f t="shared" si="6"/>
        <v>10545.887412633749</v>
      </c>
      <c r="E131" s="11">
        <f t="shared" si="7"/>
        <v>30088.943295827252</v>
      </c>
    </row>
    <row r="132" spans="1:5" ht="16.5" thickTop="1" thickBot="1" x14ac:dyDescent="0.3">
      <c r="A132" s="9">
        <f t="shared" si="9"/>
        <v>46722</v>
      </c>
      <c r="B132" s="10">
        <f t="shared" si="8"/>
        <v>1245963.4336328562</v>
      </c>
      <c r="C132" s="11">
        <f t="shared" ref="C132:C183" si="10">E132-D132</f>
        <v>19705.914682220115</v>
      </c>
      <c r="D132" s="10">
        <f t="shared" ref="D132:D183" si="11">B132*$G$3/12</f>
        <v>10383.028613607135</v>
      </c>
      <c r="E132" s="11">
        <f t="shared" ref="E132:E183" si="12">PMT($G$3/12,$G$5,-$G$2,0,0)</f>
        <v>30088.943295827252</v>
      </c>
    </row>
    <row r="133" spans="1:5" ht="16.5" thickTop="1" thickBot="1" x14ac:dyDescent="0.3">
      <c r="A133" s="9">
        <f t="shared" si="9"/>
        <v>46753</v>
      </c>
      <c r="B133" s="10">
        <f t="shared" ref="B133:B183" si="13">B132-C132</f>
        <v>1226257.518950636</v>
      </c>
      <c r="C133" s="11">
        <f t="shared" si="10"/>
        <v>19870.130637905284</v>
      </c>
      <c r="D133" s="10">
        <f t="shared" si="11"/>
        <v>10218.812657921968</v>
      </c>
      <c r="E133" s="11">
        <f t="shared" si="12"/>
        <v>30088.943295827252</v>
      </c>
    </row>
    <row r="134" spans="1:5" ht="16.5" thickTop="1" thickBot="1" x14ac:dyDescent="0.3">
      <c r="A134" s="9">
        <f t="shared" ref="A134:A183" si="14">EDATE(A133,1)</f>
        <v>46784</v>
      </c>
      <c r="B134" s="10">
        <f t="shared" si="13"/>
        <v>1206387.3883127307</v>
      </c>
      <c r="C134" s="11">
        <f t="shared" si="10"/>
        <v>20035.715059887829</v>
      </c>
      <c r="D134" s="10">
        <f t="shared" si="11"/>
        <v>10053.228235939423</v>
      </c>
      <c r="E134" s="11">
        <f t="shared" si="12"/>
        <v>30088.943295827252</v>
      </c>
    </row>
    <row r="135" spans="1:5" ht="16.5" thickTop="1" thickBot="1" x14ac:dyDescent="0.3">
      <c r="A135" s="9">
        <f t="shared" si="14"/>
        <v>46813</v>
      </c>
      <c r="B135" s="10">
        <f t="shared" si="13"/>
        <v>1186351.6732528429</v>
      </c>
      <c r="C135" s="11">
        <f t="shared" si="10"/>
        <v>20202.679352053561</v>
      </c>
      <c r="D135" s="10">
        <f t="shared" si="11"/>
        <v>9886.2639437736907</v>
      </c>
      <c r="E135" s="11">
        <f t="shared" si="12"/>
        <v>30088.943295827252</v>
      </c>
    </row>
    <row r="136" spans="1:5" ht="16.5" thickTop="1" thickBot="1" x14ac:dyDescent="0.3">
      <c r="A136" s="9">
        <f t="shared" si="14"/>
        <v>46844</v>
      </c>
      <c r="B136" s="10">
        <f t="shared" si="13"/>
        <v>1166148.9939007892</v>
      </c>
      <c r="C136" s="11">
        <f t="shared" si="10"/>
        <v>20371.035013320674</v>
      </c>
      <c r="D136" s="10">
        <f t="shared" si="11"/>
        <v>9717.9082825065761</v>
      </c>
      <c r="E136" s="11">
        <f t="shared" si="12"/>
        <v>30088.943295827252</v>
      </c>
    </row>
    <row r="137" spans="1:5" ht="16.5" thickTop="1" thickBot="1" x14ac:dyDescent="0.3">
      <c r="A137" s="9">
        <f t="shared" si="14"/>
        <v>46874</v>
      </c>
      <c r="B137" s="10">
        <f t="shared" si="13"/>
        <v>1145777.9588874686</v>
      </c>
      <c r="C137" s="11">
        <f t="shared" si="10"/>
        <v>20540.793638431678</v>
      </c>
      <c r="D137" s="10">
        <f t="shared" si="11"/>
        <v>9548.1496573955719</v>
      </c>
      <c r="E137" s="11">
        <f t="shared" si="12"/>
        <v>30088.943295827252</v>
      </c>
    </row>
    <row r="138" spans="1:5" ht="16.5" thickTop="1" thickBot="1" x14ac:dyDescent="0.3">
      <c r="A138" s="9">
        <f t="shared" si="14"/>
        <v>46905</v>
      </c>
      <c r="B138" s="10">
        <f t="shared" si="13"/>
        <v>1125237.1652490369</v>
      </c>
      <c r="C138" s="11">
        <f t="shared" si="10"/>
        <v>20711.966918751947</v>
      </c>
      <c r="D138" s="10">
        <f t="shared" si="11"/>
        <v>9376.976377075307</v>
      </c>
      <c r="E138" s="11">
        <f t="shared" si="12"/>
        <v>30088.943295827252</v>
      </c>
    </row>
    <row r="139" spans="1:5" ht="16.5" thickTop="1" thickBot="1" x14ac:dyDescent="0.3">
      <c r="A139" s="9">
        <f t="shared" si="14"/>
        <v>46935</v>
      </c>
      <c r="B139" s="10">
        <f t="shared" si="13"/>
        <v>1104525.198330285</v>
      </c>
      <c r="C139" s="11">
        <f t="shared" si="10"/>
        <v>20884.566643074875</v>
      </c>
      <c r="D139" s="10">
        <f t="shared" si="11"/>
        <v>9204.3766527523749</v>
      </c>
      <c r="E139" s="11">
        <f t="shared" si="12"/>
        <v>30088.943295827252</v>
      </c>
    </row>
    <row r="140" spans="1:5" ht="16.5" thickTop="1" thickBot="1" x14ac:dyDescent="0.3">
      <c r="A140" s="9">
        <f t="shared" si="14"/>
        <v>46966</v>
      </c>
      <c r="B140" s="10">
        <f t="shared" si="13"/>
        <v>1083640.6316872102</v>
      </c>
      <c r="C140" s="11">
        <f t="shared" si="10"/>
        <v>21058.604698433832</v>
      </c>
      <c r="D140" s="10">
        <f t="shared" si="11"/>
        <v>9030.3385973934182</v>
      </c>
      <c r="E140" s="11">
        <f t="shared" si="12"/>
        <v>30088.943295827252</v>
      </c>
    </row>
    <row r="141" spans="1:5" ht="16.5" thickTop="1" thickBot="1" x14ac:dyDescent="0.3">
      <c r="A141" s="9">
        <f t="shared" si="14"/>
        <v>46997</v>
      </c>
      <c r="B141" s="10">
        <f t="shared" si="13"/>
        <v>1062582.0269887764</v>
      </c>
      <c r="C141" s="11">
        <f t="shared" si="10"/>
        <v>21234.093070920782</v>
      </c>
      <c r="D141" s="10">
        <f t="shared" si="11"/>
        <v>8854.8502249064713</v>
      </c>
      <c r="E141" s="11">
        <f t="shared" si="12"/>
        <v>30088.943295827252</v>
      </c>
    </row>
    <row r="142" spans="1:5" ht="16.5" thickTop="1" thickBot="1" x14ac:dyDescent="0.3">
      <c r="A142" s="9">
        <f t="shared" si="14"/>
        <v>47027</v>
      </c>
      <c r="B142" s="10">
        <f t="shared" si="13"/>
        <v>1041347.9339178556</v>
      </c>
      <c r="C142" s="11">
        <f t="shared" si="10"/>
        <v>21411.043846511788</v>
      </c>
      <c r="D142" s="10">
        <f t="shared" si="11"/>
        <v>8677.8994493154642</v>
      </c>
      <c r="E142" s="11">
        <f t="shared" si="12"/>
        <v>30088.943295827252</v>
      </c>
    </row>
    <row r="143" spans="1:5" ht="16.5" thickTop="1" thickBot="1" x14ac:dyDescent="0.3">
      <c r="A143" s="9">
        <f t="shared" si="14"/>
        <v>47058</v>
      </c>
      <c r="B143" s="10">
        <f t="shared" si="13"/>
        <v>1019936.8900713439</v>
      </c>
      <c r="C143" s="11">
        <f t="shared" si="10"/>
        <v>21589.469211899384</v>
      </c>
      <c r="D143" s="10">
        <f t="shared" si="11"/>
        <v>8499.4740839278656</v>
      </c>
      <c r="E143" s="11">
        <f t="shared" si="12"/>
        <v>30088.943295827252</v>
      </c>
    </row>
    <row r="144" spans="1:5" ht="16.5" thickTop="1" thickBot="1" x14ac:dyDescent="0.3">
      <c r="A144" s="9">
        <f t="shared" si="14"/>
        <v>47088</v>
      </c>
      <c r="B144" s="10">
        <f t="shared" si="13"/>
        <v>998347.42085944442</v>
      </c>
      <c r="C144" s="11">
        <f t="shared" si="10"/>
        <v>21769.381455331881</v>
      </c>
      <c r="D144" s="10">
        <f t="shared" si="11"/>
        <v>8319.5618404953711</v>
      </c>
      <c r="E144" s="11">
        <f t="shared" si="12"/>
        <v>30088.943295827252</v>
      </c>
    </row>
    <row r="145" spans="1:5" ht="16.5" thickTop="1" thickBot="1" x14ac:dyDescent="0.3">
      <c r="A145" s="9">
        <f t="shared" si="14"/>
        <v>47119</v>
      </c>
      <c r="B145" s="10">
        <f t="shared" si="13"/>
        <v>976578.0394041125</v>
      </c>
      <c r="C145" s="11">
        <f t="shared" si="10"/>
        <v>21950.792967459649</v>
      </c>
      <c r="D145" s="10">
        <f t="shared" si="11"/>
        <v>8138.1503283676038</v>
      </c>
      <c r="E145" s="11">
        <f t="shared" si="12"/>
        <v>30088.943295827252</v>
      </c>
    </row>
    <row r="146" spans="1:5" ht="16.5" thickTop="1" thickBot="1" x14ac:dyDescent="0.3">
      <c r="A146" s="9">
        <f t="shared" si="14"/>
        <v>47150</v>
      </c>
      <c r="B146" s="10">
        <f t="shared" si="13"/>
        <v>954627.24643665284</v>
      </c>
      <c r="C146" s="11">
        <f t="shared" si="10"/>
        <v>22133.716242188479</v>
      </c>
      <c r="D146" s="10">
        <f t="shared" si="11"/>
        <v>7955.2270536387741</v>
      </c>
      <c r="E146" s="11">
        <f t="shared" si="12"/>
        <v>30088.943295827252</v>
      </c>
    </row>
    <row r="147" spans="1:5" ht="16.5" thickTop="1" thickBot="1" x14ac:dyDescent="0.3">
      <c r="A147" s="9">
        <f t="shared" si="14"/>
        <v>47178</v>
      </c>
      <c r="B147" s="10">
        <f t="shared" si="13"/>
        <v>932493.53019446437</v>
      </c>
      <c r="C147" s="11">
        <f t="shared" si="10"/>
        <v>22318.16387754005</v>
      </c>
      <c r="D147" s="10">
        <f t="shared" si="11"/>
        <v>7770.779418287203</v>
      </c>
      <c r="E147" s="11">
        <f t="shared" si="12"/>
        <v>30088.943295827252</v>
      </c>
    </row>
    <row r="148" spans="1:5" ht="16.5" thickTop="1" thickBot="1" x14ac:dyDescent="0.3">
      <c r="A148" s="9">
        <f t="shared" si="14"/>
        <v>47209</v>
      </c>
      <c r="B148" s="10">
        <f t="shared" si="13"/>
        <v>910175.36631692434</v>
      </c>
      <c r="C148" s="11">
        <f t="shared" si="10"/>
        <v>22504.14857651955</v>
      </c>
      <c r="D148" s="10">
        <f t="shared" si="11"/>
        <v>7584.7947193077025</v>
      </c>
      <c r="E148" s="11">
        <f t="shared" si="12"/>
        <v>30088.943295827252</v>
      </c>
    </row>
    <row r="149" spans="1:5" ht="16.5" thickTop="1" thickBot="1" x14ac:dyDescent="0.3">
      <c r="A149" s="9">
        <f t="shared" si="14"/>
        <v>47239</v>
      </c>
      <c r="B149" s="10">
        <f t="shared" si="13"/>
        <v>887671.21774040477</v>
      </c>
      <c r="C149" s="11">
        <f t="shared" si="10"/>
        <v>22691.683147990545</v>
      </c>
      <c r="D149" s="10">
        <f t="shared" si="11"/>
        <v>7397.2601478367069</v>
      </c>
      <c r="E149" s="11">
        <f t="shared" si="12"/>
        <v>30088.943295827252</v>
      </c>
    </row>
    <row r="150" spans="1:5" ht="16.5" thickTop="1" thickBot="1" x14ac:dyDescent="0.3">
      <c r="A150" s="9">
        <f t="shared" si="14"/>
        <v>47270</v>
      </c>
      <c r="B150" s="10">
        <f t="shared" si="13"/>
        <v>864979.53459241427</v>
      </c>
      <c r="C150" s="11">
        <f t="shared" si="10"/>
        <v>22880.780507557134</v>
      </c>
      <c r="D150" s="10">
        <f t="shared" si="11"/>
        <v>7208.1627882701187</v>
      </c>
      <c r="E150" s="11">
        <f t="shared" si="12"/>
        <v>30088.943295827252</v>
      </c>
    </row>
    <row r="151" spans="1:5" ht="16.5" thickTop="1" thickBot="1" x14ac:dyDescent="0.3">
      <c r="A151" s="9">
        <f t="shared" si="14"/>
        <v>47300</v>
      </c>
      <c r="B151" s="10">
        <f t="shared" si="13"/>
        <v>842098.75408485718</v>
      </c>
      <c r="C151" s="11">
        <f t="shared" si="10"/>
        <v>23071.453678453443</v>
      </c>
      <c r="D151" s="10">
        <f t="shared" si="11"/>
        <v>7017.4896173738098</v>
      </c>
      <c r="E151" s="11">
        <f t="shared" si="12"/>
        <v>30088.943295827252</v>
      </c>
    </row>
    <row r="152" spans="1:5" ht="16.5" thickTop="1" thickBot="1" x14ac:dyDescent="0.3">
      <c r="A152" s="9">
        <f t="shared" si="14"/>
        <v>47331</v>
      </c>
      <c r="B152" s="10">
        <f t="shared" si="13"/>
        <v>819027.30040640372</v>
      </c>
      <c r="C152" s="11">
        <f t="shared" si="10"/>
        <v>23263.715792440555</v>
      </c>
      <c r="D152" s="10">
        <f t="shared" si="11"/>
        <v>6825.2275033866981</v>
      </c>
      <c r="E152" s="11">
        <f t="shared" si="12"/>
        <v>30088.943295827252</v>
      </c>
    </row>
    <row r="153" spans="1:5" ht="16.5" thickTop="1" thickBot="1" x14ac:dyDescent="0.3">
      <c r="A153" s="9">
        <f t="shared" si="14"/>
        <v>47362</v>
      </c>
      <c r="B153" s="10">
        <f t="shared" si="13"/>
        <v>795763.58461396315</v>
      </c>
      <c r="C153" s="11">
        <f t="shared" si="10"/>
        <v>23457.580090710893</v>
      </c>
      <c r="D153" s="10">
        <f t="shared" si="11"/>
        <v>6631.3632051163595</v>
      </c>
      <c r="E153" s="11">
        <f t="shared" si="12"/>
        <v>30088.943295827252</v>
      </c>
    </row>
    <row r="154" spans="1:5" ht="16.5" thickTop="1" thickBot="1" x14ac:dyDescent="0.3">
      <c r="A154" s="9">
        <f t="shared" si="14"/>
        <v>47392</v>
      </c>
      <c r="B154" s="10">
        <f t="shared" si="13"/>
        <v>772306.00452325225</v>
      </c>
      <c r="C154" s="11">
        <f t="shared" si="10"/>
        <v>23653.059924800149</v>
      </c>
      <c r="D154" s="10">
        <f t="shared" si="11"/>
        <v>6435.8833710271028</v>
      </c>
      <c r="E154" s="11">
        <f t="shared" si="12"/>
        <v>30088.943295827252</v>
      </c>
    </row>
    <row r="155" spans="1:5" ht="16.5" thickTop="1" thickBot="1" x14ac:dyDescent="0.3">
      <c r="A155" s="9">
        <f t="shared" si="14"/>
        <v>47423</v>
      </c>
      <c r="B155" s="10">
        <f t="shared" si="13"/>
        <v>748652.94459845207</v>
      </c>
      <c r="C155" s="11">
        <f t="shared" si="10"/>
        <v>23850.168757506817</v>
      </c>
      <c r="D155" s="10">
        <f t="shared" si="11"/>
        <v>6238.7745383204347</v>
      </c>
      <c r="E155" s="11">
        <f t="shared" si="12"/>
        <v>30088.943295827252</v>
      </c>
    </row>
    <row r="156" spans="1:5" ht="16.5" thickTop="1" thickBot="1" x14ac:dyDescent="0.3">
      <c r="A156" s="9">
        <f t="shared" si="14"/>
        <v>47453</v>
      </c>
      <c r="B156" s="10">
        <f t="shared" si="13"/>
        <v>724802.77584094531</v>
      </c>
      <c r="C156" s="11">
        <f t="shared" si="10"/>
        <v>24048.920163819374</v>
      </c>
      <c r="D156" s="10">
        <f t="shared" si="11"/>
        <v>6040.0231320078783</v>
      </c>
      <c r="E156" s="11">
        <f t="shared" si="12"/>
        <v>30088.943295827252</v>
      </c>
    </row>
    <row r="157" spans="1:5" ht="16.5" thickTop="1" thickBot="1" x14ac:dyDescent="0.3">
      <c r="A157" s="9">
        <f t="shared" si="14"/>
        <v>47484</v>
      </c>
      <c r="B157" s="10">
        <f t="shared" si="13"/>
        <v>700753.85567712598</v>
      </c>
      <c r="C157" s="11">
        <f t="shared" si="10"/>
        <v>24249.327831851202</v>
      </c>
      <c r="D157" s="10">
        <f t="shared" si="11"/>
        <v>5839.6154639760498</v>
      </c>
      <c r="E157" s="11">
        <f t="shared" si="12"/>
        <v>30088.943295827252</v>
      </c>
    </row>
    <row r="158" spans="1:5" ht="16.5" thickTop="1" thickBot="1" x14ac:dyDescent="0.3">
      <c r="A158" s="9">
        <f t="shared" si="14"/>
        <v>47515</v>
      </c>
      <c r="B158" s="10">
        <f t="shared" si="13"/>
        <v>676504.52784527477</v>
      </c>
      <c r="C158" s="11">
        <f t="shared" si="10"/>
        <v>24451.405563783293</v>
      </c>
      <c r="D158" s="10">
        <f t="shared" si="11"/>
        <v>5637.5377320439575</v>
      </c>
      <c r="E158" s="11">
        <f t="shared" si="12"/>
        <v>30088.943295827252</v>
      </c>
    </row>
    <row r="159" spans="1:5" ht="16.5" thickTop="1" thickBot="1" x14ac:dyDescent="0.3">
      <c r="A159" s="9">
        <f t="shared" si="14"/>
        <v>47543</v>
      </c>
      <c r="B159" s="10">
        <f t="shared" si="13"/>
        <v>652053.12228149152</v>
      </c>
      <c r="C159" s="11">
        <f t="shared" si="10"/>
        <v>24655.167276814824</v>
      </c>
      <c r="D159" s="10">
        <f t="shared" si="11"/>
        <v>5433.7760190124291</v>
      </c>
      <c r="E159" s="11">
        <f t="shared" si="12"/>
        <v>30088.943295827252</v>
      </c>
    </row>
    <row r="160" spans="1:5" ht="16.5" thickTop="1" thickBot="1" x14ac:dyDescent="0.3">
      <c r="A160" s="9">
        <f t="shared" si="14"/>
        <v>47574</v>
      </c>
      <c r="B160" s="10">
        <f t="shared" si="13"/>
        <v>627397.95500467671</v>
      </c>
      <c r="C160" s="11">
        <f t="shared" si="10"/>
        <v>24860.627004121612</v>
      </c>
      <c r="D160" s="10">
        <f t="shared" si="11"/>
        <v>5228.3162917056397</v>
      </c>
      <c r="E160" s="11">
        <f t="shared" si="12"/>
        <v>30088.943295827252</v>
      </c>
    </row>
    <row r="161" spans="1:5" ht="16.5" thickTop="1" thickBot="1" x14ac:dyDescent="0.3">
      <c r="A161" s="9">
        <f t="shared" si="14"/>
        <v>47604</v>
      </c>
      <c r="B161" s="10">
        <f t="shared" si="13"/>
        <v>602537.32800055505</v>
      </c>
      <c r="C161" s="11">
        <f t="shared" si="10"/>
        <v>25067.798895822627</v>
      </c>
      <c r="D161" s="10">
        <f t="shared" si="11"/>
        <v>5021.1444000046258</v>
      </c>
      <c r="E161" s="11">
        <f t="shared" si="12"/>
        <v>30088.943295827252</v>
      </c>
    </row>
    <row r="162" spans="1:5" ht="16.5" thickTop="1" thickBot="1" x14ac:dyDescent="0.3">
      <c r="A162" s="9">
        <f t="shared" si="14"/>
        <v>47635</v>
      </c>
      <c r="B162" s="10">
        <f t="shared" si="13"/>
        <v>577469.52910473244</v>
      </c>
      <c r="C162" s="11">
        <f t="shared" si="10"/>
        <v>25276.69721995448</v>
      </c>
      <c r="D162" s="10">
        <f t="shared" si="11"/>
        <v>4812.2460758727711</v>
      </c>
      <c r="E162" s="11">
        <f t="shared" si="12"/>
        <v>30088.943295827252</v>
      </c>
    </row>
    <row r="163" spans="1:5" ht="16.5" thickTop="1" thickBot="1" x14ac:dyDescent="0.3">
      <c r="A163" s="9">
        <f t="shared" si="14"/>
        <v>47665</v>
      </c>
      <c r="B163" s="10">
        <f t="shared" si="13"/>
        <v>552192.83188477799</v>
      </c>
      <c r="C163" s="11">
        <f t="shared" si="10"/>
        <v>25487.336363454102</v>
      </c>
      <c r="D163" s="10">
        <f t="shared" si="11"/>
        <v>4601.6069323731499</v>
      </c>
      <c r="E163" s="11">
        <f t="shared" si="12"/>
        <v>30088.943295827252</v>
      </c>
    </row>
    <row r="164" spans="1:5" ht="16.5" thickTop="1" thickBot="1" x14ac:dyDescent="0.3">
      <c r="A164" s="9">
        <f t="shared" si="14"/>
        <v>47696</v>
      </c>
      <c r="B164" s="10">
        <f t="shared" si="13"/>
        <v>526705.49552132387</v>
      </c>
      <c r="C164" s="11">
        <f t="shared" si="10"/>
        <v>25699.730833149551</v>
      </c>
      <c r="D164" s="10">
        <f t="shared" si="11"/>
        <v>4389.2124626776995</v>
      </c>
      <c r="E164" s="11">
        <f t="shared" si="12"/>
        <v>30088.943295827252</v>
      </c>
    </row>
    <row r="165" spans="1:5" ht="16.5" thickTop="1" thickBot="1" x14ac:dyDescent="0.3">
      <c r="A165" s="9">
        <f t="shared" si="14"/>
        <v>47727</v>
      </c>
      <c r="B165" s="10">
        <f t="shared" si="13"/>
        <v>501005.7646881743</v>
      </c>
      <c r="C165" s="11">
        <f t="shared" si="10"/>
        <v>25913.895256759133</v>
      </c>
      <c r="D165" s="10">
        <f t="shared" si="11"/>
        <v>4175.0480390681196</v>
      </c>
      <c r="E165" s="11">
        <f t="shared" si="12"/>
        <v>30088.943295827252</v>
      </c>
    </row>
    <row r="166" spans="1:5" ht="16.5" thickTop="1" thickBot="1" x14ac:dyDescent="0.3">
      <c r="A166" s="9">
        <f t="shared" si="14"/>
        <v>47757</v>
      </c>
      <c r="B166" s="10">
        <f t="shared" si="13"/>
        <v>475091.86943141517</v>
      </c>
      <c r="C166" s="11">
        <f t="shared" si="10"/>
        <v>26129.844383898791</v>
      </c>
      <c r="D166" s="10">
        <f t="shared" si="11"/>
        <v>3959.09891192846</v>
      </c>
      <c r="E166" s="11">
        <f t="shared" si="12"/>
        <v>30088.943295827252</v>
      </c>
    </row>
    <row r="167" spans="1:5" ht="16.5" thickTop="1" thickBot="1" x14ac:dyDescent="0.3">
      <c r="A167" s="9">
        <f t="shared" si="14"/>
        <v>47788</v>
      </c>
      <c r="B167" s="10">
        <f t="shared" si="13"/>
        <v>448962.02504751639</v>
      </c>
      <c r="C167" s="11">
        <f t="shared" si="10"/>
        <v>26347.59308709795</v>
      </c>
      <c r="D167" s="10">
        <f t="shared" si="11"/>
        <v>3741.3502087293036</v>
      </c>
      <c r="E167" s="11">
        <f t="shared" si="12"/>
        <v>30088.943295827252</v>
      </c>
    </row>
    <row r="168" spans="1:5" ht="16.5" thickTop="1" thickBot="1" x14ac:dyDescent="0.3">
      <c r="A168" s="9">
        <f t="shared" si="14"/>
        <v>47818</v>
      </c>
      <c r="B168" s="10">
        <f t="shared" si="13"/>
        <v>422614.43196041847</v>
      </c>
      <c r="C168" s="11">
        <f t="shared" si="10"/>
        <v>26567.156362823764</v>
      </c>
      <c r="D168" s="10">
        <f t="shared" si="11"/>
        <v>3521.7869330034878</v>
      </c>
      <c r="E168" s="11">
        <f t="shared" si="12"/>
        <v>30088.943295827252</v>
      </c>
    </row>
    <row r="169" spans="1:5" ht="16.5" thickTop="1" thickBot="1" x14ac:dyDescent="0.3">
      <c r="A169" s="9">
        <f t="shared" si="14"/>
        <v>47849</v>
      </c>
      <c r="B169" s="10">
        <f t="shared" si="13"/>
        <v>396047.27559759468</v>
      </c>
      <c r="C169" s="11">
        <f t="shared" si="10"/>
        <v>26788.549332513961</v>
      </c>
      <c r="D169" s="10">
        <f t="shared" si="11"/>
        <v>3300.3939633132891</v>
      </c>
      <c r="E169" s="11">
        <f t="shared" si="12"/>
        <v>30088.943295827252</v>
      </c>
    </row>
    <row r="170" spans="1:5" ht="16.5" thickTop="1" thickBot="1" x14ac:dyDescent="0.3">
      <c r="A170" s="9">
        <f t="shared" si="14"/>
        <v>47880</v>
      </c>
      <c r="B170" s="10">
        <f t="shared" si="13"/>
        <v>369258.72626508074</v>
      </c>
      <c r="C170" s="11">
        <f t="shared" si="10"/>
        <v>27011.787243618244</v>
      </c>
      <c r="D170" s="10">
        <f t="shared" si="11"/>
        <v>3077.1560522090062</v>
      </c>
      <c r="E170" s="11">
        <f t="shared" si="12"/>
        <v>30088.943295827252</v>
      </c>
    </row>
    <row r="171" spans="1:5" ht="16.5" thickTop="1" thickBot="1" x14ac:dyDescent="0.3">
      <c r="A171" s="9">
        <f t="shared" si="14"/>
        <v>47908</v>
      </c>
      <c r="B171" s="10">
        <f t="shared" si="13"/>
        <v>342246.93902146252</v>
      </c>
      <c r="C171" s="11">
        <f t="shared" si="10"/>
        <v>27236.885470648398</v>
      </c>
      <c r="D171" s="10">
        <f t="shared" si="11"/>
        <v>2852.0578251788543</v>
      </c>
      <c r="E171" s="11">
        <f t="shared" si="12"/>
        <v>30088.943295827252</v>
      </c>
    </row>
    <row r="172" spans="1:5" ht="16.5" thickTop="1" thickBot="1" x14ac:dyDescent="0.3">
      <c r="A172" s="9">
        <f t="shared" si="14"/>
        <v>47939</v>
      </c>
      <c r="B172" s="10">
        <f t="shared" si="13"/>
        <v>315010.0535508141</v>
      </c>
      <c r="C172" s="11">
        <f t="shared" si="10"/>
        <v>27463.859516237135</v>
      </c>
      <c r="D172" s="10">
        <f t="shared" si="11"/>
        <v>2625.0837795901175</v>
      </c>
      <c r="E172" s="11">
        <f t="shared" si="12"/>
        <v>30088.943295827252</v>
      </c>
    </row>
    <row r="173" spans="1:5" ht="16.5" thickTop="1" thickBot="1" x14ac:dyDescent="0.3">
      <c r="A173" s="9">
        <f t="shared" si="14"/>
        <v>47969</v>
      </c>
      <c r="B173" s="10">
        <f t="shared" si="13"/>
        <v>287546.194034577</v>
      </c>
      <c r="C173" s="11">
        <f t="shared" si="10"/>
        <v>27692.725012205778</v>
      </c>
      <c r="D173" s="10">
        <f t="shared" si="11"/>
        <v>2396.2182836214752</v>
      </c>
      <c r="E173" s="11">
        <f t="shared" si="12"/>
        <v>30088.943295827252</v>
      </c>
    </row>
    <row r="174" spans="1:5" ht="16.5" thickTop="1" thickBot="1" x14ac:dyDescent="0.3">
      <c r="A174" s="9">
        <f t="shared" si="14"/>
        <v>48000</v>
      </c>
      <c r="B174" s="10">
        <f t="shared" si="13"/>
        <v>259853.46902237122</v>
      </c>
      <c r="C174" s="11">
        <f t="shared" si="10"/>
        <v>27923.497720640826</v>
      </c>
      <c r="D174" s="10">
        <f t="shared" si="11"/>
        <v>2165.445575186427</v>
      </c>
      <c r="E174" s="11">
        <f t="shared" si="12"/>
        <v>30088.943295827252</v>
      </c>
    </row>
    <row r="175" spans="1:5" ht="16.5" thickTop="1" thickBot="1" x14ac:dyDescent="0.3">
      <c r="A175" s="9">
        <f t="shared" si="14"/>
        <v>48030</v>
      </c>
      <c r="B175" s="10">
        <f t="shared" si="13"/>
        <v>231929.9713017304</v>
      </c>
      <c r="C175" s="11">
        <f t="shared" si="10"/>
        <v>28156.193534979499</v>
      </c>
      <c r="D175" s="10">
        <f t="shared" si="11"/>
        <v>1932.7497608477534</v>
      </c>
      <c r="E175" s="11">
        <f t="shared" si="12"/>
        <v>30088.943295827252</v>
      </c>
    </row>
    <row r="176" spans="1:5" ht="16.5" thickTop="1" thickBot="1" x14ac:dyDescent="0.3">
      <c r="A176" s="9">
        <f t="shared" si="14"/>
        <v>48061</v>
      </c>
      <c r="B176" s="10">
        <f t="shared" si="13"/>
        <v>203773.77776675089</v>
      </c>
      <c r="C176" s="11">
        <f t="shared" si="10"/>
        <v>28390.828481104327</v>
      </c>
      <c r="D176" s="10">
        <f t="shared" si="11"/>
        <v>1698.1148147229242</v>
      </c>
      <c r="E176" s="11">
        <f t="shared" si="12"/>
        <v>30088.943295827252</v>
      </c>
    </row>
    <row r="177" spans="1:5" ht="16.5" thickTop="1" thickBot="1" x14ac:dyDescent="0.3">
      <c r="A177" s="9">
        <f t="shared" si="14"/>
        <v>48092</v>
      </c>
      <c r="B177" s="10">
        <f t="shared" si="13"/>
        <v>175382.94928564655</v>
      </c>
      <c r="C177" s="11">
        <f t="shared" si="10"/>
        <v>28627.418718446865</v>
      </c>
      <c r="D177" s="10">
        <f t="shared" si="11"/>
        <v>1461.5245773803881</v>
      </c>
      <c r="E177" s="11">
        <f t="shared" si="12"/>
        <v>30088.943295827252</v>
      </c>
    </row>
    <row r="178" spans="1:5" ht="16.5" thickTop="1" thickBot="1" x14ac:dyDescent="0.3">
      <c r="A178" s="9">
        <f t="shared" si="14"/>
        <v>48122</v>
      </c>
      <c r="B178" s="10">
        <f t="shared" si="13"/>
        <v>146755.53056719969</v>
      </c>
      <c r="C178" s="11">
        <f t="shared" si="10"/>
        <v>28865.980541100587</v>
      </c>
      <c r="D178" s="10">
        <f t="shared" si="11"/>
        <v>1222.9627547266641</v>
      </c>
      <c r="E178" s="11">
        <f t="shared" si="12"/>
        <v>30088.943295827252</v>
      </c>
    </row>
    <row r="179" spans="1:5" ht="16.5" thickTop="1" thickBot="1" x14ac:dyDescent="0.3">
      <c r="A179" s="9">
        <f t="shared" si="14"/>
        <v>48153</v>
      </c>
      <c r="B179" s="10">
        <f t="shared" si="13"/>
        <v>117889.55002609911</v>
      </c>
      <c r="C179" s="11">
        <f t="shared" si="10"/>
        <v>29106.530378943091</v>
      </c>
      <c r="D179" s="10">
        <f t="shared" si="11"/>
        <v>982.41291688415924</v>
      </c>
      <c r="E179" s="11">
        <f t="shared" si="12"/>
        <v>30088.943295827252</v>
      </c>
    </row>
    <row r="180" spans="1:5" ht="16.5" thickTop="1" thickBot="1" x14ac:dyDescent="0.3">
      <c r="A180" s="9">
        <f t="shared" si="14"/>
        <v>48183</v>
      </c>
      <c r="B180" s="10">
        <f t="shared" si="13"/>
        <v>88783.019647156019</v>
      </c>
      <c r="C180" s="11">
        <f t="shared" si="10"/>
        <v>29349.084798767617</v>
      </c>
      <c r="D180" s="10">
        <f t="shared" si="11"/>
        <v>739.85849705963346</v>
      </c>
      <c r="E180" s="11">
        <f t="shared" si="12"/>
        <v>30088.943295827252</v>
      </c>
    </row>
    <row r="181" spans="1:5" ht="16.5" thickTop="1" thickBot="1" x14ac:dyDescent="0.3">
      <c r="A181" s="9">
        <f t="shared" si="14"/>
        <v>48214</v>
      </c>
      <c r="B181" s="10">
        <f t="shared" si="13"/>
        <v>59433.934848388402</v>
      </c>
      <c r="C181" s="11">
        <f t="shared" si="10"/>
        <v>29593.660505424014</v>
      </c>
      <c r="D181" s="10">
        <f t="shared" si="11"/>
        <v>495.28279040323673</v>
      </c>
      <c r="E181" s="11">
        <f t="shared" si="12"/>
        <v>30088.943295827252</v>
      </c>
    </row>
    <row r="182" spans="1:5" ht="16.5" thickTop="1" thickBot="1" x14ac:dyDescent="0.3">
      <c r="A182" s="9">
        <f t="shared" si="14"/>
        <v>48245</v>
      </c>
      <c r="B182" s="10">
        <f t="shared" si="13"/>
        <v>29840.274342964389</v>
      </c>
      <c r="C182" s="11">
        <f t="shared" si="10"/>
        <v>29840.274342969216</v>
      </c>
      <c r="D182" s="10">
        <f t="shared" si="11"/>
        <v>248.66895285803659</v>
      </c>
      <c r="E182" s="11">
        <f t="shared" si="12"/>
        <v>30088.943295827252</v>
      </c>
    </row>
    <row r="183" spans="1:5" ht="16.5" thickTop="1" thickBot="1" x14ac:dyDescent="0.3">
      <c r="A183" s="9">
        <f t="shared" si="14"/>
        <v>48274</v>
      </c>
      <c r="B183" s="10">
        <f t="shared" si="13"/>
        <v>-4.8275978770107031E-9</v>
      </c>
      <c r="C183" s="11">
        <f t="shared" si="10"/>
        <v>30088.943295827292</v>
      </c>
      <c r="D183" s="10">
        <f t="shared" si="11"/>
        <v>-4.0229982308422533E-11</v>
      </c>
      <c r="E183" s="11">
        <f t="shared" si="12"/>
        <v>30088.943295827252</v>
      </c>
    </row>
    <row r="184" spans="1:5" ht="15.75" thickTop="1" x14ac:dyDescent="0.25">
      <c r="A184" s="1"/>
    </row>
    <row r="185" spans="1:5" x14ac:dyDescent="0.25">
      <c r="A185" s="1"/>
    </row>
    <row r="186" spans="1:5" x14ac:dyDescent="0.25">
      <c r="A186" s="1"/>
    </row>
    <row r="187" spans="1:5" x14ac:dyDescent="0.25">
      <c r="A187" s="1"/>
    </row>
    <row r="188" spans="1:5" x14ac:dyDescent="0.25">
      <c r="A188" s="1"/>
    </row>
    <row r="189" spans="1:5" x14ac:dyDescent="0.25">
      <c r="A189" s="1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BE4B-902D-4B58-A88D-C90FC47E48E3}">
  <dimension ref="A1:I185"/>
  <sheetViews>
    <sheetView tabSelected="1" topLeftCell="B1" workbookViewId="0">
      <selection activeCell="H13" sqref="H13"/>
    </sheetView>
  </sheetViews>
  <sheetFormatPr defaultRowHeight="15" x14ac:dyDescent="0.25"/>
  <cols>
    <col min="1" max="1" width="17.140625" customWidth="1"/>
    <col min="2" max="2" width="19.85546875" customWidth="1"/>
    <col min="3" max="3" width="16.7109375" customWidth="1"/>
    <col min="4" max="4" width="18.7109375" customWidth="1"/>
    <col min="5" max="5" width="16" customWidth="1"/>
    <col min="6" max="6" width="21.85546875" customWidth="1"/>
    <col min="7" max="7" width="23.140625" bestFit="1" customWidth="1"/>
  </cols>
  <sheetData>
    <row r="1" spans="1:9" ht="16.5" thickTop="1" thickBot="1" x14ac:dyDescent="0.3">
      <c r="A1" s="12" t="s">
        <v>10</v>
      </c>
      <c r="B1" s="13"/>
      <c r="C1" s="13"/>
      <c r="D1" s="13"/>
      <c r="E1" s="13"/>
      <c r="F1" s="13"/>
      <c r="G1" s="14"/>
    </row>
    <row r="2" spans="1:9" ht="16.5" thickTop="1" thickBot="1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0</v>
      </c>
      <c r="G2" s="3">
        <v>2800000</v>
      </c>
    </row>
    <row r="3" spans="1:9" ht="16.5" thickTop="1" thickBot="1" x14ac:dyDescent="0.3">
      <c r="A3" s="4">
        <v>42795</v>
      </c>
      <c r="B3" s="5">
        <v>2800000</v>
      </c>
      <c r="C3" s="6">
        <f>$G$2/$G$5</f>
        <v>15555.555555555555</v>
      </c>
      <c r="D3" s="5">
        <f>B3*$G$3/12</f>
        <v>23333.333333333332</v>
      </c>
      <c r="E3" s="6">
        <f>C3+D3</f>
        <v>38888.888888888891</v>
      </c>
      <c r="F3" s="3" t="s">
        <v>1</v>
      </c>
      <c r="G3" s="7">
        <v>0.1</v>
      </c>
    </row>
    <row r="4" spans="1:9" ht="16.5" thickTop="1" thickBot="1" x14ac:dyDescent="0.3">
      <c r="A4" s="4">
        <f>EDATE(A3,1)</f>
        <v>42826</v>
      </c>
      <c r="B4" s="5">
        <f>B3-C3</f>
        <v>2784444.4444444445</v>
      </c>
      <c r="C4" s="6">
        <f t="shared" ref="C4:C67" si="0">$G$2/$G$5</f>
        <v>15555.555555555555</v>
      </c>
      <c r="D4" s="5">
        <f t="shared" ref="D4:D67" si="1">B4*$G$3/12</f>
        <v>23203.703703703704</v>
      </c>
      <c r="E4" s="6">
        <f t="shared" ref="E4:E67" si="2">C4+D4</f>
        <v>38759.259259259255</v>
      </c>
      <c r="F4" s="3" t="s">
        <v>2</v>
      </c>
      <c r="G4" s="3">
        <v>15</v>
      </c>
    </row>
    <row r="5" spans="1:9" ht="16.5" thickTop="1" thickBot="1" x14ac:dyDescent="0.3">
      <c r="A5" s="4">
        <f>EDATE(A4,1)</f>
        <v>42856</v>
      </c>
      <c r="B5" s="5">
        <f t="shared" ref="B5:B68" si="3">B4-C4</f>
        <v>2768888.888888889</v>
      </c>
      <c r="C5" s="6">
        <f t="shared" si="0"/>
        <v>15555.555555555555</v>
      </c>
      <c r="D5" s="5">
        <f t="shared" si="1"/>
        <v>23074.074074074077</v>
      </c>
      <c r="E5" s="6">
        <f t="shared" si="2"/>
        <v>38629.629629629635</v>
      </c>
      <c r="F5" s="3" t="s">
        <v>3</v>
      </c>
      <c r="G5" s="3">
        <v>180</v>
      </c>
    </row>
    <row r="6" spans="1:9" ht="16.5" thickTop="1" thickBot="1" x14ac:dyDescent="0.3">
      <c r="A6" s="4">
        <f t="shared" ref="A6:A69" si="4">EDATE(A5,1)</f>
        <v>42887</v>
      </c>
      <c r="B6" s="5">
        <f t="shared" si="3"/>
        <v>2753333.3333333335</v>
      </c>
      <c r="C6" s="6">
        <f t="shared" si="0"/>
        <v>15555.555555555555</v>
      </c>
      <c r="D6" s="5">
        <f t="shared" si="1"/>
        <v>22944.444444444449</v>
      </c>
      <c r="E6" s="6">
        <f t="shared" si="2"/>
        <v>38500</v>
      </c>
    </row>
    <row r="7" spans="1:9" ht="16.5" thickTop="1" thickBot="1" x14ac:dyDescent="0.3">
      <c r="A7" s="4">
        <f t="shared" si="4"/>
        <v>42917</v>
      </c>
      <c r="B7" s="5">
        <f t="shared" si="3"/>
        <v>2737777.777777778</v>
      </c>
      <c r="C7" s="6">
        <f t="shared" si="0"/>
        <v>15555.555555555555</v>
      </c>
      <c r="D7" s="5">
        <f t="shared" si="1"/>
        <v>22814.814814814818</v>
      </c>
      <c r="E7" s="6">
        <f t="shared" si="2"/>
        <v>38370.370370370372</v>
      </c>
    </row>
    <row r="8" spans="1:9" ht="16.5" thickTop="1" thickBot="1" x14ac:dyDescent="0.3">
      <c r="A8" s="4">
        <f t="shared" si="4"/>
        <v>42948</v>
      </c>
      <c r="B8" s="5">
        <f t="shared" si="3"/>
        <v>2722222.2222222225</v>
      </c>
      <c r="C8" s="6">
        <f t="shared" si="0"/>
        <v>15555.555555555555</v>
      </c>
      <c r="D8" s="5">
        <f t="shared" si="1"/>
        <v>22685.185185185186</v>
      </c>
      <c r="E8" s="6">
        <f t="shared" si="2"/>
        <v>38240.740740740745</v>
      </c>
      <c r="F8" s="5" t="s">
        <v>11</v>
      </c>
      <c r="G8" s="5">
        <f>SUM(E3:E183)</f>
        <v>4927222.2222222285</v>
      </c>
    </row>
    <row r="9" spans="1:9" ht="16.5" thickTop="1" thickBot="1" x14ac:dyDescent="0.3">
      <c r="A9" s="4">
        <f t="shared" si="4"/>
        <v>42979</v>
      </c>
      <c r="B9" s="5">
        <f t="shared" si="3"/>
        <v>2706666.666666667</v>
      </c>
      <c r="C9" s="6">
        <f t="shared" si="0"/>
        <v>15555.555555555555</v>
      </c>
      <c r="D9" s="5">
        <f t="shared" si="1"/>
        <v>22555.555555555558</v>
      </c>
      <c r="E9" s="6">
        <f t="shared" si="2"/>
        <v>38111.111111111109</v>
      </c>
      <c r="F9" s="5" t="s">
        <v>12</v>
      </c>
      <c r="G9" s="5">
        <f>G8-B3</f>
        <v>2127222.2222222285</v>
      </c>
    </row>
    <row r="10" spans="1:9" ht="16.5" thickTop="1" thickBot="1" x14ac:dyDescent="0.3">
      <c r="A10" s="4">
        <f t="shared" si="4"/>
        <v>43009</v>
      </c>
      <c r="B10" s="5">
        <f t="shared" si="3"/>
        <v>2691111.1111111115</v>
      </c>
      <c r="C10" s="6">
        <f t="shared" si="0"/>
        <v>15555.555555555555</v>
      </c>
      <c r="D10" s="5">
        <f t="shared" si="1"/>
        <v>22425.925925925931</v>
      </c>
      <c r="E10" s="6">
        <f t="shared" si="2"/>
        <v>37981.481481481489</v>
      </c>
      <c r="I10" s="15"/>
    </row>
    <row r="11" spans="1:9" ht="16.5" thickTop="1" thickBot="1" x14ac:dyDescent="0.3">
      <c r="A11" s="4">
        <f t="shared" si="4"/>
        <v>43040</v>
      </c>
      <c r="B11" s="5">
        <f t="shared" si="3"/>
        <v>2675555.555555556</v>
      </c>
      <c r="C11" s="6">
        <f t="shared" si="0"/>
        <v>15555.555555555555</v>
      </c>
      <c r="D11" s="5">
        <f t="shared" si="1"/>
        <v>22296.296296296303</v>
      </c>
      <c r="E11" s="6">
        <f t="shared" si="2"/>
        <v>37851.851851851854</v>
      </c>
    </row>
    <row r="12" spans="1:9" ht="16.5" thickTop="1" thickBot="1" x14ac:dyDescent="0.3">
      <c r="A12" s="4">
        <f t="shared" si="4"/>
        <v>43070</v>
      </c>
      <c r="B12" s="5">
        <f t="shared" si="3"/>
        <v>2660000.0000000005</v>
      </c>
      <c r="C12" s="6">
        <f t="shared" si="0"/>
        <v>15555.555555555555</v>
      </c>
      <c r="D12" s="5">
        <f t="shared" si="1"/>
        <v>22166.666666666672</v>
      </c>
      <c r="E12" s="6">
        <f t="shared" si="2"/>
        <v>37722.222222222226</v>
      </c>
    </row>
    <row r="13" spans="1:9" ht="16.5" thickTop="1" thickBot="1" x14ac:dyDescent="0.3">
      <c r="A13" s="4">
        <f t="shared" si="4"/>
        <v>43101</v>
      </c>
      <c r="B13" s="5">
        <f t="shared" si="3"/>
        <v>2644444.444444445</v>
      </c>
      <c r="C13" s="6">
        <f t="shared" si="0"/>
        <v>15555.555555555555</v>
      </c>
      <c r="D13" s="5">
        <f t="shared" si="1"/>
        <v>22037.03703703704</v>
      </c>
      <c r="E13" s="6">
        <f t="shared" si="2"/>
        <v>37592.592592592599</v>
      </c>
    </row>
    <row r="14" spans="1:9" ht="16.5" thickTop="1" thickBot="1" x14ac:dyDescent="0.3">
      <c r="A14" s="4">
        <f t="shared" si="4"/>
        <v>43132</v>
      </c>
      <c r="B14" s="5">
        <f t="shared" si="3"/>
        <v>2628888.8888888895</v>
      </c>
      <c r="C14" s="6">
        <f t="shared" si="0"/>
        <v>15555.555555555555</v>
      </c>
      <c r="D14" s="5">
        <f t="shared" si="1"/>
        <v>21907.407407407412</v>
      </c>
      <c r="E14" s="6">
        <f t="shared" si="2"/>
        <v>37462.962962962964</v>
      </c>
    </row>
    <row r="15" spans="1:9" ht="16.5" thickTop="1" thickBot="1" x14ac:dyDescent="0.3">
      <c r="A15" s="4">
        <f t="shared" si="4"/>
        <v>43160</v>
      </c>
      <c r="B15" s="5">
        <f t="shared" si="3"/>
        <v>2613333.333333334</v>
      </c>
      <c r="C15" s="6">
        <f t="shared" si="0"/>
        <v>15555.555555555555</v>
      </c>
      <c r="D15" s="5">
        <f t="shared" si="1"/>
        <v>21777.777777777785</v>
      </c>
      <c r="E15" s="6">
        <f t="shared" si="2"/>
        <v>37333.333333333343</v>
      </c>
    </row>
    <row r="16" spans="1:9" ht="16.5" thickTop="1" thickBot="1" x14ac:dyDescent="0.3">
      <c r="A16" s="4">
        <f t="shared" si="4"/>
        <v>43191</v>
      </c>
      <c r="B16" s="5">
        <f t="shared" si="3"/>
        <v>2597777.7777777785</v>
      </c>
      <c r="C16" s="6">
        <f t="shared" si="0"/>
        <v>15555.555555555555</v>
      </c>
      <c r="D16" s="5">
        <f t="shared" si="1"/>
        <v>21648.148148148157</v>
      </c>
      <c r="E16" s="6">
        <f t="shared" si="2"/>
        <v>37203.703703703708</v>
      </c>
    </row>
    <row r="17" spans="1:5" ht="16.5" thickTop="1" thickBot="1" x14ac:dyDescent="0.3">
      <c r="A17" s="4">
        <f t="shared" si="4"/>
        <v>43221</v>
      </c>
      <c r="B17" s="5">
        <f t="shared" si="3"/>
        <v>2582222.2222222229</v>
      </c>
      <c r="C17" s="6">
        <f t="shared" si="0"/>
        <v>15555.555555555555</v>
      </c>
      <c r="D17" s="5">
        <f t="shared" si="1"/>
        <v>21518.518518518526</v>
      </c>
      <c r="E17" s="6">
        <f t="shared" si="2"/>
        <v>37074.07407407408</v>
      </c>
    </row>
    <row r="18" spans="1:5" ht="16.5" thickTop="1" thickBot="1" x14ac:dyDescent="0.3">
      <c r="A18" s="4">
        <f t="shared" si="4"/>
        <v>43252</v>
      </c>
      <c r="B18" s="5">
        <f t="shared" si="3"/>
        <v>2566666.6666666674</v>
      </c>
      <c r="C18" s="6">
        <f t="shared" si="0"/>
        <v>15555.555555555555</v>
      </c>
      <c r="D18" s="5">
        <f t="shared" si="1"/>
        <v>21388.888888888894</v>
      </c>
      <c r="E18" s="6">
        <f t="shared" si="2"/>
        <v>36944.444444444453</v>
      </c>
    </row>
    <row r="19" spans="1:5" ht="16.5" thickTop="1" thickBot="1" x14ac:dyDescent="0.3">
      <c r="A19" s="4">
        <f t="shared" si="4"/>
        <v>43282</v>
      </c>
      <c r="B19" s="5">
        <f t="shared" si="3"/>
        <v>2551111.1111111119</v>
      </c>
      <c r="C19" s="6">
        <f t="shared" si="0"/>
        <v>15555.555555555555</v>
      </c>
      <c r="D19" s="5">
        <f t="shared" si="1"/>
        <v>21259.259259259266</v>
      </c>
      <c r="E19" s="6">
        <f t="shared" si="2"/>
        <v>36814.814814814818</v>
      </c>
    </row>
    <row r="20" spans="1:5" ht="16.5" thickTop="1" thickBot="1" x14ac:dyDescent="0.3">
      <c r="A20" s="4">
        <f t="shared" si="4"/>
        <v>43313</v>
      </c>
      <c r="B20" s="5">
        <f t="shared" si="3"/>
        <v>2535555.5555555564</v>
      </c>
      <c r="C20" s="6">
        <f t="shared" si="0"/>
        <v>15555.555555555555</v>
      </c>
      <c r="D20" s="5">
        <f t="shared" si="1"/>
        <v>21129.629629629639</v>
      </c>
      <c r="E20" s="6">
        <f t="shared" si="2"/>
        <v>36685.185185185197</v>
      </c>
    </row>
    <row r="21" spans="1:5" ht="16.5" thickTop="1" thickBot="1" x14ac:dyDescent="0.3">
      <c r="A21" s="4">
        <f t="shared" si="4"/>
        <v>43344</v>
      </c>
      <c r="B21" s="5">
        <f t="shared" si="3"/>
        <v>2520000.0000000009</v>
      </c>
      <c r="C21" s="6">
        <f t="shared" si="0"/>
        <v>15555.555555555555</v>
      </c>
      <c r="D21" s="5">
        <f t="shared" si="1"/>
        <v>21000.000000000011</v>
      </c>
      <c r="E21" s="6">
        <f t="shared" si="2"/>
        <v>36555.555555555562</v>
      </c>
    </row>
    <row r="22" spans="1:5" ht="16.5" thickTop="1" thickBot="1" x14ac:dyDescent="0.3">
      <c r="A22" s="4">
        <f t="shared" si="4"/>
        <v>43374</v>
      </c>
      <c r="B22" s="5">
        <f t="shared" si="3"/>
        <v>2504444.4444444454</v>
      </c>
      <c r="C22" s="6">
        <f t="shared" si="0"/>
        <v>15555.555555555555</v>
      </c>
      <c r="D22" s="5">
        <f t="shared" si="1"/>
        <v>20870.37037037038</v>
      </c>
      <c r="E22" s="6">
        <f t="shared" si="2"/>
        <v>36425.925925925934</v>
      </c>
    </row>
    <row r="23" spans="1:5" ht="16.5" thickTop="1" thickBot="1" x14ac:dyDescent="0.3">
      <c r="A23" s="4">
        <f t="shared" si="4"/>
        <v>43405</v>
      </c>
      <c r="B23" s="5">
        <f t="shared" si="3"/>
        <v>2488888.8888888899</v>
      </c>
      <c r="C23" s="6">
        <f t="shared" si="0"/>
        <v>15555.555555555555</v>
      </c>
      <c r="D23" s="5">
        <f t="shared" si="1"/>
        <v>20740.740740740748</v>
      </c>
      <c r="E23" s="6">
        <f t="shared" si="2"/>
        <v>36296.296296296307</v>
      </c>
    </row>
    <row r="24" spans="1:5" ht="16.5" thickTop="1" thickBot="1" x14ac:dyDescent="0.3">
      <c r="A24" s="4">
        <f t="shared" si="4"/>
        <v>43435</v>
      </c>
      <c r="B24" s="5">
        <f t="shared" si="3"/>
        <v>2473333.3333333344</v>
      </c>
      <c r="C24" s="6">
        <f t="shared" si="0"/>
        <v>15555.555555555555</v>
      </c>
      <c r="D24" s="5">
        <f t="shared" si="1"/>
        <v>20611.11111111112</v>
      </c>
      <c r="E24" s="6">
        <f t="shared" si="2"/>
        <v>36166.666666666672</v>
      </c>
    </row>
    <row r="25" spans="1:5" ht="16.5" thickTop="1" thickBot="1" x14ac:dyDescent="0.3">
      <c r="A25" s="4">
        <f t="shared" si="4"/>
        <v>43466</v>
      </c>
      <c r="B25" s="5">
        <f t="shared" si="3"/>
        <v>2457777.7777777789</v>
      </c>
      <c r="C25" s="6">
        <f t="shared" si="0"/>
        <v>15555.555555555555</v>
      </c>
      <c r="D25" s="5">
        <f t="shared" si="1"/>
        <v>20481.481481481493</v>
      </c>
      <c r="E25" s="6">
        <f t="shared" si="2"/>
        <v>36037.037037037051</v>
      </c>
    </row>
    <row r="26" spans="1:5" ht="16.5" thickTop="1" thickBot="1" x14ac:dyDescent="0.3">
      <c r="A26" s="4">
        <f t="shared" si="4"/>
        <v>43497</v>
      </c>
      <c r="B26" s="5">
        <f t="shared" si="3"/>
        <v>2442222.2222222234</v>
      </c>
      <c r="C26" s="6">
        <f t="shared" si="0"/>
        <v>15555.555555555555</v>
      </c>
      <c r="D26" s="5">
        <f t="shared" si="1"/>
        <v>20351.851851851865</v>
      </c>
      <c r="E26" s="6">
        <f t="shared" si="2"/>
        <v>35907.407407407416</v>
      </c>
    </row>
    <row r="27" spans="1:5" ht="16.5" thickTop="1" thickBot="1" x14ac:dyDescent="0.3">
      <c r="A27" s="4">
        <f t="shared" si="4"/>
        <v>43525</v>
      </c>
      <c r="B27" s="5">
        <f t="shared" si="3"/>
        <v>2426666.6666666679</v>
      </c>
      <c r="C27" s="6">
        <f t="shared" si="0"/>
        <v>15555.555555555555</v>
      </c>
      <c r="D27" s="5">
        <f t="shared" si="1"/>
        <v>20222.222222222234</v>
      </c>
      <c r="E27" s="6">
        <f t="shared" si="2"/>
        <v>35777.777777777788</v>
      </c>
    </row>
    <row r="28" spans="1:5" ht="16.5" thickTop="1" thickBot="1" x14ac:dyDescent="0.3">
      <c r="A28" s="4">
        <f t="shared" si="4"/>
        <v>43556</v>
      </c>
      <c r="B28" s="5">
        <f t="shared" si="3"/>
        <v>2411111.1111111124</v>
      </c>
      <c r="C28" s="6">
        <f t="shared" si="0"/>
        <v>15555.555555555555</v>
      </c>
      <c r="D28" s="5">
        <f t="shared" si="1"/>
        <v>20092.592592592602</v>
      </c>
      <c r="E28" s="6">
        <f t="shared" si="2"/>
        <v>35648.148148148161</v>
      </c>
    </row>
    <row r="29" spans="1:5" ht="16.5" thickTop="1" thickBot="1" x14ac:dyDescent="0.3">
      <c r="A29" s="4">
        <f t="shared" si="4"/>
        <v>43586</v>
      </c>
      <c r="B29" s="5">
        <f t="shared" si="3"/>
        <v>2395555.5555555569</v>
      </c>
      <c r="C29" s="6">
        <f t="shared" si="0"/>
        <v>15555.555555555555</v>
      </c>
      <c r="D29" s="5">
        <f t="shared" si="1"/>
        <v>19962.962962962974</v>
      </c>
      <c r="E29" s="6">
        <f t="shared" si="2"/>
        <v>35518.518518518526</v>
      </c>
    </row>
    <row r="30" spans="1:5" ht="16.5" thickTop="1" thickBot="1" x14ac:dyDescent="0.3">
      <c r="A30" s="4">
        <f t="shared" si="4"/>
        <v>43617</v>
      </c>
      <c r="B30" s="5">
        <f t="shared" si="3"/>
        <v>2380000.0000000014</v>
      </c>
      <c r="C30" s="6">
        <f t="shared" si="0"/>
        <v>15555.555555555555</v>
      </c>
      <c r="D30" s="5">
        <f t="shared" si="1"/>
        <v>19833.333333333347</v>
      </c>
      <c r="E30" s="6">
        <f t="shared" si="2"/>
        <v>35388.888888888905</v>
      </c>
    </row>
    <row r="31" spans="1:5" ht="16.5" thickTop="1" thickBot="1" x14ac:dyDescent="0.3">
      <c r="A31" s="4">
        <f t="shared" si="4"/>
        <v>43647</v>
      </c>
      <c r="B31" s="5">
        <f t="shared" si="3"/>
        <v>2364444.4444444459</v>
      </c>
      <c r="C31" s="6">
        <f t="shared" si="0"/>
        <v>15555.555555555555</v>
      </c>
      <c r="D31" s="5">
        <f t="shared" si="1"/>
        <v>19703.703703703719</v>
      </c>
      <c r="E31" s="6">
        <f t="shared" si="2"/>
        <v>35259.25925925927</v>
      </c>
    </row>
    <row r="32" spans="1:5" ht="16.5" thickTop="1" thickBot="1" x14ac:dyDescent="0.3">
      <c r="A32" s="4">
        <f t="shared" si="4"/>
        <v>43678</v>
      </c>
      <c r="B32" s="5">
        <f t="shared" si="3"/>
        <v>2348888.8888888904</v>
      </c>
      <c r="C32" s="6">
        <f t="shared" si="0"/>
        <v>15555.555555555555</v>
      </c>
      <c r="D32" s="5">
        <f t="shared" si="1"/>
        <v>19574.074074074088</v>
      </c>
      <c r="E32" s="6">
        <f t="shared" si="2"/>
        <v>35129.629629629642</v>
      </c>
    </row>
    <row r="33" spans="1:5" ht="16.5" thickTop="1" thickBot="1" x14ac:dyDescent="0.3">
      <c r="A33" s="4">
        <f t="shared" si="4"/>
        <v>43709</v>
      </c>
      <c r="B33" s="5">
        <f t="shared" si="3"/>
        <v>2333333.3333333349</v>
      </c>
      <c r="C33" s="6">
        <f t="shared" si="0"/>
        <v>15555.555555555555</v>
      </c>
      <c r="D33" s="5">
        <f t="shared" si="1"/>
        <v>19444.444444444456</v>
      </c>
      <c r="E33" s="6">
        <f t="shared" si="2"/>
        <v>35000.000000000015</v>
      </c>
    </row>
    <row r="34" spans="1:5" ht="16.5" thickTop="1" thickBot="1" x14ac:dyDescent="0.3">
      <c r="A34" s="4">
        <f t="shared" si="4"/>
        <v>43739</v>
      </c>
      <c r="B34" s="5">
        <f t="shared" si="3"/>
        <v>2317777.7777777794</v>
      </c>
      <c r="C34" s="6">
        <f t="shared" si="0"/>
        <v>15555.555555555555</v>
      </c>
      <c r="D34" s="5">
        <f t="shared" si="1"/>
        <v>19314.814814814828</v>
      </c>
      <c r="E34" s="6">
        <f t="shared" si="2"/>
        <v>34870.37037037038</v>
      </c>
    </row>
    <row r="35" spans="1:5" ht="16.5" thickTop="1" thickBot="1" x14ac:dyDescent="0.3">
      <c r="A35" s="4">
        <f t="shared" si="4"/>
        <v>43770</v>
      </c>
      <c r="B35" s="5">
        <f t="shared" si="3"/>
        <v>2302222.2222222239</v>
      </c>
      <c r="C35" s="6">
        <f t="shared" si="0"/>
        <v>15555.555555555555</v>
      </c>
      <c r="D35" s="5">
        <f t="shared" si="1"/>
        <v>19185.185185185201</v>
      </c>
      <c r="E35" s="6">
        <f t="shared" si="2"/>
        <v>34740.740740740759</v>
      </c>
    </row>
    <row r="36" spans="1:5" ht="16.5" thickTop="1" thickBot="1" x14ac:dyDescent="0.3">
      <c r="A36" s="4">
        <f t="shared" si="4"/>
        <v>43800</v>
      </c>
      <c r="B36" s="5">
        <f t="shared" si="3"/>
        <v>2286666.6666666684</v>
      </c>
      <c r="C36" s="6">
        <f t="shared" si="0"/>
        <v>15555.555555555555</v>
      </c>
      <c r="D36" s="5">
        <f t="shared" si="1"/>
        <v>19055.555555555573</v>
      </c>
      <c r="E36" s="6">
        <f t="shared" si="2"/>
        <v>34611.111111111124</v>
      </c>
    </row>
    <row r="37" spans="1:5" ht="16.5" thickTop="1" thickBot="1" x14ac:dyDescent="0.3">
      <c r="A37" s="4">
        <f t="shared" si="4"/>
        <v>43831</v>
      </c>
      <c r="B37" s="5">
        <f t="shared" si="3"/>
        <v>2271111.1111111129</v>
      </c>
      <c r="C37" s="6">
        <f t="shared" si="0"/>
        <v>15555.555555555555</v>
      </c>
      <c r="D37" s="5">
        <f t="shared" si="1"/>
        <v>18925.925925925942</v>
      </c>
      <c r="E37" s="6">
        <f t="shared" si="2"/>
        <v>34481.481481481496</v>
      </c>
    </row>
    <row r="38" spans="1:5" ht="16.5" thickTop="1" thickBot="1" x14ac:dyDescent="0.3">
      <c r="A38" s="4">
        <f t="shared" si="4"/>
        <v>43862</v>
      </c>
      <c r="B38" s="5">
        <f t="shared" si="3"/>
        <v>2255555.5555555574</v>
      </c>
      <c r="C38" s="6">
        <f t="shared" si="0"/>
        <v>15555.555555555555</v>
      </c>
      <c r="D38" s="5">
        <f t="shared" si="1"/>
        <v>18796.29629629631</v>
      </c>
      <c r="E38" s="6">
        <f t="shared" si="2"/>
        <v>34351.851851851869</v>
      </c>
    </row>
    <row r="39" spans="1:5" ht="16.5" thickTop="1" thickBot="1" x14ac:dyDescent="0.3">
      <c r="A39" s="4">
        <f t="shared" si="4"/>
        <v>43891</v>
      </c>
      <c r="B39" s="5">
        <f t="shared" si="3"/>
        <v>2240000.0000000019</v>
      </c>
      <c r="C39" s="6">
        <f t="shared" si="0"/>
        <v>15555.555555555555</v>
      </c>
      <c r="D39" s="5">
        <f t="shared" si="1"/>
        <v>18666.666666666682</v>
      </c>
      <c r="E39" s="6">
        <f t="shared" si="2"/>
        <v>34222.222222222234</v>
      </c>
    </row>
    <row r="40" spans="1:5" ht="16.5" thickTop="1" thickBot="1" x14ac:dyDescent="0.3">
      <c r="A40" s="4">
        <f t="shared" si="4"/>
        <v>43922</v>
      </c>
      <c r="B40" s="5">
        <f t="shared" si="3"/>
        <v>2224444.4444444464</v>
      </c>
      <c r="C40" s="6">
        <f t="shared" si="0"/>
        <v>15555.555555555555</v>
      </c>
      <c r="D40" s="5">
        <f t="shared" si="1"/>
        <v>18537.037037037055</v>
      </c>
      <c r="E40" s="6">
        <f t="shared" si="2"/>
        <v>34092.592592592613</v>
      </c>
    </row>
    <row r="41" spans="1:5" ht="16.5" thickTop="1" thickBot="1" x14ac:dyDescent="0.3">
      <c r="A41" s="4">
        <f t="shared" si="4"/>
        <v>43952</v>
      </c>
      <c r="B41" s="5">
        <f t="shared" si="3"/>
        <v>2208888.8888888909</v>
      </c>
      <c r="C41" s="6">
        <f t="shared" si="0"/>
        <v>15555.555555555555</v>
      </c>
      <c r="D41" s="5">
        <f t="shared" si="1"/>
        <v>18407.407407407427</v>
      </c>
      <c r="E41" s="6">
        <f t="shared" si="2"/>
        <v>33962.962962962978</v>
      </c>
    </row>
    <row r="42" spans="1:5" ht="16.5" thickTop="1" thickBot="1" x14ac:dyDescent="0.3">
      <c r="A42" s="4">
        <f t="shared" si="4"/>
        <v>43983</v>
      </c>
      <c r="B42" s="5">
        <f t="shared" si="3"/>
        <v>2193333.3333333354</v>
      </c>
      <c r="C42" s="6">
        <f t="shared" si="0"/>
        <v>15555.555555555555</v>
      </c>
      <c r="D42" s="5">
        <f t="shared" si="1"/>
        <v>18277.777777777796</v>
      </c>
      <c r="E42" s="6">
        <f t="shared" si="2"/>
        <v>33833.33333333335</v>
      </c>
    </row>
    <row r="43" spans="1:5" ht="16.5" thickTop="1" thickBot="1" x14ac:dyDescent="0.3">
      <c r="A43" s="4">
        <f t="shared" si="4"/>
        <v>44013</v>
      </c>
      <c r="B43" s="5">
        <f t="shared" si="3"/>
        <v>2177777.7777777798</v>
      </c>
      <c r="C43" s="6">
        <f t="shared" si="0"/>
        <v>15555.555555555555</v>
      </c>
      <c r="D43" s="5">
        <f t="shared" si="1"/>
        <v>18148.148148148164</v>
      </c>
      <c r="E43" s="6">
        <f t="shared" si="2"/>
        <v>33703.703703703723</v>
      </c>
    </row>
    <row r="44" spans="1:5" ht="16.5" thickTop="1" thickBot="1" x14ac:dyDescent="0.3">
      <c r="A44" s="4">
        <f t="shared" si="4"/>
        <v>44044</v>
      </c>
      <c r="B44" s="5">
        <f t="shared" si="3"/>
        <v>2162222.2222222243</v>
      </c>
      <c r="C44" s="6">
        <f t="shared" si="0"/>
        <v>15555.555555555555</v>
      </c>
      <c r="D44" s="5">
        <f t="shared" si="1"/>
        <v>18018.518518518536</v>
      </c>
      <c r="E44" s="6">
        <f t="shared" si="2"/>
        <v>33574.074074074088</v>
      </c>
    </row>
    <row r="45" spans="1:5" ht="16.5" thickTop="1" thickBot="1" x14ac:dyDescent="0.3">
      <c r="A45" s="4">
        <f t="shared" si="4"/>
        <v>44075</v>
      </c>
      <c r="B45" s="5">
        <f t="shared" si="3"/>
        <v>2146666.6666666688</v>
      </c>
      <c r="C45" s="6">
        <f t="shared" si="0"/>
        <v>15555.555555555555</v>
      </c>
      <c r="D45" s="5">
        <f t="shared" si="1"/>
        <v>17888.888888888909</v>
      </c>
      <c r="E45" s="6">
        <f t="shared" si="2"/>
        <v>33444.444444444467</v>
      </c>
    </row>
    <row r="46" spans="1:5" ht="16.5" thickTop="1" thickBot="1" x14ac:dyDescent="0.3">
      <c r="A46" s="4">
        <f t="shared" si="4"/>
        <v>44105</v>
      </c>
      <c r="B46" s="5">
        <f t="shared" si="3"/>
        <v>2131111.1111111133</v>
      </c>
      <c r="C46" s="6">
        <f t="shared" si="0"/>
        <v>15555.555555555555</v>
      </c>
      <c r="D46" s="5">
        <f t="shared" si="1"/>
        <v>17759.259259259281</v>
      </c>
      <c r="E46" s="6">
        <f t="shared" si="2"/>
        <v>33314.814814814832</v>
      </c>
    </row>
    <row r="47" spans="1:5" ht="16.5" thickTop="1" thickBot="1" x14ac:dyDescent="0.3">
      <c r="A47" s="4">
        <f t="shared" si="4"/>
        <v>44136</v>
      </c>
      <c r="B47" s="5">
        <f t="shared" si="3"/>
        <v>2115555.5555555578</v>
      </c>
      <c r="C47" s="6">
        <f t="shared" si="0"/>
        <v>15555.555555555555</v>
      </c>
      <c r="D47" s="5">
        <f t="shared" si="1"/>
        <v>17629.62962962965</v>
      </c>
      <c r="E47" s="6">
        <f t="shared" si="2"/>
        <v>33185.185185185204</v>
      </c>
    </row>
    <row r="48" spans="1:5" ht="16.5" thickTop="1" thickBot="1" x14ac:dyDescent="0.3">
      <c r="A48" s="4">
        <f t="shared" si="4"/>
        <v>44166</v>
      </c>
      <c r="B48" s="5">
        <f t="shared" si="3"/>
        <v>2100000.0000000023</v>
      </c>
      <c r="C48" s="6">
        <f t="shared" si="0"/>
        <v>15555.555555555555</v>
      </c>
      <c r="D48" s="5">
        <f t="shared" si="1"/>
        <v>17500.000000000018</v>
      </c>
      <c r="E48" s="6">
        <f t="shared" si="2"/>
        <v>33055.555555555577</v>
      </c>
    </row>
    <row r="49" spans="1:5" ht="16.5" thickTop="1" thickBot="1" x14ac:dyDescent="0.3">
      <c r="A49" s="4">
        <f t="shared" si="4"/>
        <v>44197</v>
      </c>
      <c r="B49" s="5">
        <f t="shared" si="3"/>
        <v>2084444.4444444468</v>
      </c>
      <c r="C49" s="6">
        <f t="shared" si="0"/>
        <v>15555.555555555555</v>
      </c>
      <c r="D49" s="5">
        <f t="shared" si="1"/>
        <v>17370.37037037039</v>
      </c>
      <c r="E49" s="6">
        <f t="shared" si="2"/>
        <v>32925.925925925942</v>
      </c>
    </row>
    <row r="50" spans="1:5" ht="16.5" thickTop="1" thickBot="1" x14ac:dyDescent="0.3">
      <c r="A50" s="4">
        <f t="shared" si="4"/>
        <v>44228</v>
      </c>
      <c r="B50" s="5">
        <f t="shared" si="3"/>
        <v>2068888.8888888913</v>
      </c>
      <c r="C50" s="6">
        <f t="shared" si="0"/>
        <v>15555.555555555555</v>
      </c>
      <c r="D50" s="5">
        <f t="shared" si="1"/>
        <v>17240.740740740763</v>
      </c>
      <c r="E50" s="6">
        <f t="shared" si="2"/>
        <v>32796.296296296321</v>
      </c>
    </row>
    <row r="51" spans="1:5" ht="16.5" thickTop="1" thickBot="1" x14ac:dyDescent="0.3">
      <c r="A51" s="4">
        <f t="shared" si="4"/>
        <v>44256</v>
      </c>
      <c r="B51" s="5">
        <f t="shared" si="3"/>
        <v>2053333.3333333358</v>
      </c>
      <c r="C51" s="6">
        <f t="shared" si="0"/>
        <v>15555.555555555555</v>
      </c>
      <c r="D51" s="5">
        <f t="shared" si="1"/>
        <v>17111.111111111135</v>
      </c>
      <c r="E51" s="6">
        <f t="shared" si="2"/>
        <v>32666.66666666669</v>
      </c>
    </row>
    <row r="52" spans="1:5" ht="16.5" thickTop="1" thickBot="1" x14ac:dyDescent="0.3">
      <c r="A52" s="4">
        <f t="shared" si="4"/>
        <v>44287</v>
      </c>
      <c r="B52" s="5">
        <f t="shared" si="3"/>
        <v>2037777.7777777803</v>
      </c>
      <c r="C52" s="6">
        <f t="shared" si="0"/>
        <v>15555.555555555555</v>
      </c>
      <c r="D52" s="5">
        <f t="shared" si="1"/>
        <v>16981.481481481504</v>
      </c>
      <c r="E52" s="6">
        <f t="shared" si="2"/>
        <v>32537.037037037058</v>
      </c>
    </row>
    <row r="53" spans="1:5" ht="16.5" thickTop="1" thickBot="1" x14ac:dyDescent="0.3">
      <c r="A53" s="4">
        <f t="shared" si="4"/>
        <v>44317</v>
      </c>
      <c r="B53" s="5">
        <f t="shared" si="3"/>
        <v>2022222.2222222248</v>
      </c>
      <c r="C53" s="6">
        <f t="shared" si="0"/>
        <v>15555.555555555555</v>
      </c>
      <c r="D53" s="5">
        <f t="shared" si="1"/>
        <v>16851.851851851872</v>
      </c>
      <c r="E53" s="6">
        <f t="shared" si="2"/>
        <v>32407.407407407427</v>
      </c>
    </row>
    <row r="54" spans="1:5" ht="16.5" thickTop="1" thickBot="1" x14ac:dyDescent="0.3">
      <c r="A54" s="4">
        <f t="shared" si="4"/>
        <v>44348</v>
      </c>
      <c r="B54" s="5">
        <f t="shared" si="3"/>
        <v>2006666.6666666693</v>
      </c>
      <c r="C54" s="6">
        <f t="shared" si="0"/>
        <v>15555.555555555555</v>
      </c>
      <c r="D54" s="5">
        <f t="shared" si="1"/>
        <v>16722.222222222244</v>
      </c>
      <c r="E54" s="6">
        <f t="shared" si="2"/>
        <v>32277.777777777799</v>
      </c>
    </row>
    <row r="55" spans="1:5" ht="16.5" thickTop="1" thickBot="1" x14ac:dyDescent="0.3">
      <c r="A55" s="4">
        <f t="shared" si="4"/>
        <v>44378</v>
      </c>
      <c r="B55" s="5">
        <f t="shared" si="3"/>
        <v>1991111.1111111138</v>
      </c>
      <c r="C55" s="6">
        <f t="shared" si="0"/>
        <v>15555.555555555555</v>
      </c>
      <c r="D55" s="5">
        <f t="shared" si="1"/>
        <v>16592.592592592617</v>
      </c>
      <c r="E55" s="6">
        <f t="shared" si="2"/>
        <v>32148.148148148171</v>
      </c>
    </row>
    <row r="56" spans="1:5" ht="16.5" thickTop="1" thickBot="1" x14ac:dyDescent="0.3">
      <c r="A56" s="4">
        <f t="shared" si="4"/>
        <v>44409</v>
      </c>
      <c r="B56" s="5">
        <f t="shared" si="3"/>
        <v>1975555.5555555583</v>
      </c>
      <c r="C56" s="6">
        <f t="shared" si="0"/>
        <v>15555.555555555555</v>
      </c>
      <c r="D56" s="5">
        <f t="shared" si="1"/>
        <v>16462.962962962989</v>
      </c>
      <c r="E56" s="6">
        <f t="shared" si="2"/>
        <v>32018.518518518544</v>
      </c>
    </row>
    <row r="57" spans="1:5" ht="16.5" thickTop="1" thickBot="1" x14ac:dyDescent="0.3">
      <c r="A57" s="4">
        <f t="shared" si="4"/>
        <v>44440</v>
      </c>
      <c r="B57" s="5">
        <f t="shared" si="3"/>
        <v>1960000.0000000028</v>
      </c>
      <c r="C57" s="6">
        <f t="shared" si="0"/>
        <v>15555.555555555555</v>
      </c>
      <c r="D57" s="5">
        <f t="shared" si="1"/>
        <v>16333.333333333358</v>
      </c>
      <c r="E57" s="6">
        <f t="shared" si="2"/>
        <v>31888.888888888912</v>
      </c>
    </row>
    <row r="58" spans="1:5" ht="16.5" thickTop="1" thickBot="1" x14ac:dyDescent="0.3">
      <c r="A58" s="4">
        <f t="shared" si="4"/>
        <v>44470</v>
      </c>
      <c r="B58" s="5">
        <f t="shared" si="3"/>
        <v>1944444.4444444473</v>
      </c>
      <c r="C58" s="6">
        <f t="shared" si="0"/>
        <v>15555.555555555555</v>
      </c>
      <c r="D58" s="5">
        <f t="shared" si="1"/>
        <v>16203.703703703728</v>
      </c>
      <c r="E58" s="6">
        <f t="shared" si="2"/>
        <v>31759.259259259285</v>
      </c>
    </row>
    <row r="59" spans="1:5" ht="16.5" thickTop="1" thickBot="1" x14ac:dyDescent="0.3">
      <c r="A59" s="4">
        <f t="shared" si="4"/>
        <v>44501</v>
      </c>
      <c r="B59" s="5">
        <f t="shared" si="3"/>
        <v>1928888.8888888918</v>
      </c>
      <c r="C59" s="6">
        <f t="shared" si="0"/>
        <v>15555.555555555555</v>
      </c>
      <c r="D59" s="5">
        <f t="shared" si="1"/>
        <v>16074.0740740741</v>
      </c>
      <c r="E59" s="6">
        <f t="shared" si="2"/>
        <v>31629.629629629657</v>
      </c>
    </row>
    <row r="60" spans="1:5" ht="16.5" thickTop="1" thickBot="1" x14ac:dyDescent="0.3">
      <c r="A60" s="4">
        <f t="shared" si="4"/>
        <v>44531</v>
      </c>
      <c r="B60" s="5">
        <f t="shared" si="3"/>
        <v>1913333.3333333363</v>
      </c>
      <c r="C60" s="6">
        <f t="shared" si="0"/>
        <v>15555.555555555555</v>
      </c>
      <c r="D60" s="5">
        <f t="shared" si="1"/>
        <v>15944.444444444469</v>
      </c>
      <c r="E60" s="6">
        <f t="shared" si="2"/>
        <v>31500.000000000022</v>
      </c>
    </row>
    <row r="61" spans="1:5" ht="16.5" thickTop="1" thickBot="1" x14ac:dyDescent="0.3">
      <c r="A61" s="4">
        <f t="shared" si="4"/>
        <v>44562</v>
      </c>
      <c r="B61" s="5">
        <f t="shared" si="3"/>
        <v>1897777.7777777808</v>
      </c>
      <c r="C61" s="6">
        <f t="shared" si="0"/>
        <v>15555.555555555555</v>
      </c>
      <c r="D61" s="5">
        <f t="shared" si="1"/>
        <v>15814.814814814841</v>
      </c>
      <c r="E61" s="6">
        <f t="shared" si="2"/>
        <v>31370.370370370394</v>
      </c>
    </row>
    <row r="62" spans="1:5" ht="16.5" thickTop="1" thickBot="1" x14ac:dyDescent="0.3">
      <c r="A62" s="4">
        <f t="shared" si="4"/>
        <v>44593</v>
      </c>
      <c r="B62" s="5">
        <f t="shared" si="3"/>
        <v>1882222.2222222253</v>
      </c>
      <c r="C62" s="6">
        <f t="shared" si="0"/>
        <v>15555.555555555555</v>
      </c>
      <c r="D62" s="5">
        <f t="shared" si="1"/>
        <v>15685.185185185212</v>
      </c>
      <c r="E62" s="6">
        <f t="shared" si="2"/>
        <v>31240.740740740766</v>
      </c>
    </row>
    <row r="63" spans="1:5" ht="16.5" thickTop="1" thickBot="1" x14ac:dyDescent="0.3">
      <c r="A63" s="4">
        <f t="shared" si="4"/>
        <v>44621</v>
      </c>
      <c r="B63" s="5">
        <f t="shared" si="3"/>
        <v>1866666.6666666698</v>
      </c>
      <c r="C63" s="6">
        <f t="shared" si="0"/>
        <v>15555.555555555555</v>
      </c>
      <c r="D63" s="5">
        <f t="shared" si="1"/>
        <v>15555.555555555582</v>
      </c>
      <c r="E63" s="6">
        <f t="shared" si="2"/>
        <v>31111.111111111139</v>
      </c>
    </row>
    <row r="64" spans="1:5" ht="16.5" thickTop="1" thickBot="1" x14ac:dyDescent="0.3">
      <c r="A64" s="4">
        <f t="shared" si="4"/>
        <v>44652</v>
      </c>
      <c r="B64" s="5">
        <f t="shared" si="3"/>
        <v>1851111.1111111143</v>
      </c>
      <c r="C64" s="6">
        <f t="shared" si="0"/>
        <v>15555.555555555555</v>
      </c>
      <c r="D64" s="5">
        <f t="shared" si="1"/>
        <v>15425.925925925954</v>
      </c>
      <c r="E64" s="6">
        <f t="shared" si="2"/>
        <v>30981.481481481511</v>
      </c>
    </row>
    <row r="65" spans="1:5" ht="16.5" thickTop="1" thickBot="1" x14ac:dyDescent="0.3">
      <c r="A65" s="4">
        <f t="shared" si="4"/>
        <v>44682</v>
      </c>
      <c r="B65" s="5">
        <f t="shared" si="3"/>
        <v>1835555.5555555588</v>
      </c>
      <c r="C65" s="6">
        <f t="shared" si="0"/>
        <v>15555.555555555555</v>
      </c>
      <c r="D65" s="5">
        <f t="shared" si="1"/>
        <v>15296.296296296323</v>
      </c>
      <c r="E65" s="6">
        <f t="shared" si="2"/>
        <v>30851.851851851876</v>
      </c>
    </row>
    <row r="66" spans="1:5" ht="16.5" thickTop="1" thickBot="1" x14ac:dyDescent="0.3">
      <c r="A66" s="4">
        <f t="shared" si="4"/>
        <v>44713</v>
      </c>
      <c r="B66" s="5">
        <f t="shared" si="3"/>
        <v>1820000.0000000033</v>
      </c>
      <c r="C66" s="6">
        <f t="shared" si="0"/>
        <v>15555.555555555555</v>
      </c>
      <c r="D66" s="5">
        <f t="shared" si="1"/>
        <v>15166.666666666695</v>
      </c>
      <c r="E66" s="6">
        <f t="shared" si="2"/>
        <v>30722.222222222248</v>
      </c>
    </row>
    <row r="67" spans="1:5" ht="16.5" thickTop="1" thickBot="1" x14ac:dyDescent="0.3">
      <c r="A67" s="4">
        <f t="shared" si="4"/>
        <v>44743</v>
      </c>
      <c r="B67" s="5">
        <f t="shared" si="3"/>
        <v>1804444.4444444478</v>
      </c>
      <c r="C67" s="6">
        <f t="shared" si="0"/>
        <v>15555.555555555555</v>
      </c>
      <c r="D67" s="5">
        <f t="shared" si="1"/>
        <v>15037.037037037066</v>
      </c>
      <c r="E67" s="6">
        <f t="shared" si="2"/>
        <v>30592.59259259262</v>
      </c>
    </row>
    <row r="68" spans="1:5" ht="16.5" thickTop="1" thickBot="1" x14ac:dyDescent="0.3">
      <c r="A68" s="4">
        <f t="shared" si="4"/>
        <v>44774</v>
      </c>
      <c r="B68" s="5">
        <f t="shared" si="3"/>
        <v>1788888.8888888923</v>
      </c>
      <c r="C68" s="6">
        <f t="shared" ref="C68:C131" si="5">$G$2/$G$5</f>
        <v>15555.555555555555</v>
      </c>
      <c r="D68" s="5">
        <f t="shared" ref="D68:D131" si="6">B68*$G$3/12</f>
        <v>14907.407407407436</v>
      </c>
      <c r="E68" s="6">
        <f t="shared" ref="E68:E131" si="7">C68+D68</f>
        <v>30462.962962962993</v>
      </c>
    </row>
    <row r="69" spans="1:5" ht="16.5" thickTop="1" thickBot="1" x14ac:dyDescent="0.3">
      <c r="A69" s="4">
        <f t="shared" si="4"/>
        <v>44805</v>
      </c>
      <c r="B69" s="5">
        <f t="shared" ref="B69:B132" si="8">B68-C68</f>
        <v>1773333.3333333367</v>
      </c>
      <c r="C69" s="6">
        <f t="shared" si="5"/>
        <v>15555.555555555555</v>
      </c>
      <c r="D69" s="5">
        <f t="shared" si="6"/>
        <v>14777.777777777808</v>
      </c>
      <c r="E69" s="6">
        <f t="shared" si="7"/>
        <v>30333.333333333365</v>
      </c>
    </row>
    <row r="70" spans="1:5" ht="16.5" thickTop="1" thickBot="1" x14ac:dyDescent="0.3">
      <c r="A70" s="4">
        <f t="shared" ref="A70:A133" si="9">EDATE(A69,1)</f>
        <v>44835</v>
      </c>
      <c r="B70" s="5">
        <f t="shared" si="8"/>
        <v>1757777.7777777812</v>
      </c>
      <c r="C70" s="6">
        <f t="shared" si="5"/>
        <v>15555.555555555555</v>
      </c>
      <c r="D70" s="5">
        <f t="shared" si="6"/>
        <v>14648.148148148177</v>
      </c>
      <c r="E70" s="6">
        <f t="shared" si="7"/>
        <v>30203.70370370373</v>
      </c>
    </row>
    <row r="71" spans="1:5" ht="16.5" thickTop="1" thickBot="1" x14ac:dyDescent="0.3">
      <c r="A71" s="4">
        <f t="shared" si="9"/>
        <v>44866</v>
      </c>
      <c r="B71" s="5">
        <f t="shared" si="8"/>
        <v>1742222.2222222257</v>
      </c>
      <c r="C71" s="6">
        <f t="shared" si="5"/>
        <v>15555.555555555555</v>
      </c>
      <c r="D71" s="5">
        <f t="shared" si="6"/>
        <v>14518.518518518549</v>
      </c>
      <c r="E71" s="6">
        <f t="shared" si="7"/>
        <v>30074.074074074102</v>
      </c>
    </row>
    <row r="72" spans="1:5" ht="16.5" thickTop="1" thickBot="1" x14ac:dyDescent="0.3">
      <c r="A72" s="4">
        <f t="shared" si="9"/>
        <v>44896</v>
      </c>
      <c r="B72" s="5">
        <f t="shared" si="8"/>
        <v>1726666.6666666702</v>
      </c>
      <c r="C72" s="6">
        <f t="shared" si="5"/>
        <v>15555.555555555555</v>
      </c>
      <c r="D72" s="5">
        <f t="shared" si="6"/>
        <v>14388.88888888892</v>
      </c>
      <c r="E72" s="6">
        <f t="shared" si="7"/>
        <v>29944.444444444474</v>
      </c>
    </row>
    <row r="73" spans="1:5" ht="16.5" thickTop="1" thickBot="1" x14ac:dyDescent="0.3">
      <c r="A73" s="4">
        <f t="shared" si="9"/>
        <v>44927</v>
      </c>
      <c r="B73" s="5">
        <f t="shared" si="8"/>
        <v>1711111.1111111147</v>
      </c>
      <c r="C73" s="6">
        <f t="shared" si="5"/>
        <v>15555.555555555555</v>
      </c>
      <c r="D73" s="5">
        <f t="shared" si="6"/>
        <v>14259.25925925929</v>
      </c>
      <c r="E73" s="6">
        <f t="shared" si="7"/>
        <v>29814.814814814847</v>
      </c>
    </row>
    <row r="74" spans="1:5" ht="16.5" thickTop="1" thickBot="1" x14ac:dyDescent="0.3">
      <c r="A74" s="4">
        <f t="shared" si="9"/>
        <v>44958</v>
      </c>
      <c r="B74" s="5">
        <f t="shared" si="8"/>
        <v>1695555.5555555592</v>
      </c>
      <c r="C74" s="6">
        <f t="shared" si="5"/>
        <v>15555.555555555555</v>
      </c>
      <c r="D74" s="5">
        <f t="shared" si="6"/>
        <v>14129.629629629662</v>
      </c>
      <c r="E74" s="6">
        <f t="shared" si="7"/>
        <v>29685.185185185219</v>
      </c>
    </row>
    <row r="75" spans="1:5" ht="16.5" thickTop="1" thickBot="1" x14ac:dyDescent="0.3">
      <c r="A75" s="4">
        <f t="shared" si="9"/>
        <v>44986</v>
      </c>
      <c r="B75" s="5">
        <f t="shared" si="8"/>
        <v>1680000.0000000037</v>
      </c>
      <c r="C75" s="6">
        <f t="shared" si="5"/>
        <v>15555.555555555555</v>
      </c>
      <c r="D75" s="5">
        <f t="shared" si="6"/>
        <v>14000.000000000031</v>
      </c>
      <c r="E75" s="6">
        <f t="shared" si="7"/>
        <v>29555.555555555584</v>
      </c>
    </row>
    <row r="76" spans="1:5" ht="16.5" thickTop="1" thickBot="1" x14ac:dyDescent="0.3">
      <c r="A76" s="4">
        <f t="shared" si="9"/>
        <v>45017</v>
      </c>
      <c r="B76" s="5">
        <f t="shared" si="8"/>
        <v>1664444.4444444482</v>
      </c>
      <c r="C76" s="6">
        <f t="shared" si="5"/>
        <v>15555.555555555555</v>
      </c>
      <c r="D76" s="5">
        <f t="shared" si="6"/>
        <v>13870.370370370403</v>
      </c>
      <c r="E76" s="6">
        <f t="shared" si="7"/>
        <v>29425.925925925956</v>
      </c>
    </row>
    <row r="77" spans="1:5" ht="16.5" thickTop="1" thickBot="1" x14ac:dyDescent="0.3">
      <c r="A77" s="4">
        <f t="shared" si="9"/>
        <v>45047</v>
      </c>
      <c r="B77" s="5">
        <f t="shared" si="8"/>
        <v>1648888.8888888927</v>
      </c>
      <c r="C77" s="6">
        <f t="shared" si="5"/>
        <v>15555.555555555555</v>
      </c>
      <c r="D77" s="5">
        <f t="shared" si="6"/>
        <v>13740.740740740774</v>
      </c>
      <c r="E77" s="6">
        <f t="shared" si="7"/>
        <v>29296.296296296328</v>
      </c>
    </row>
    <row r="78" spans="1:5" ht="16.5" thickTop="1" thickBot="1" x14ac:dyDescent="0.3">
      <c r="A78" s="4">
        <f t="shared" si="9"/>
        <v>45078</v>
      </c>
      <c r="B78" s="5">
        <f t="shared" si="8"/>
        <v>1633333.3333333372</v>
      </c>
      <c r="C78" s="6">
        <f t="shared" si="5"/>
        <v>15555.555555555555</v>
      </c>
      <c r="D78" s="5">
        <f t="shared" si="6"/>
        <v>13611.111111111144</v>
      </c>
      <c r="E78" s="6">
        <f t="shared" si="7"/>
        <v>29166.666666666701</v>
      </c>
    </row>
    <row r="79" spans="1:5" ht="16.5" thickTop="1" thickBot="1" x14ac:dyDescent="0.3">
      <c r="A79" s="4">
        <f t="shared" si="9"/>
        <v>45108</v>
      </c>
      <c r="B79" s="5">
        <f t="shared" si="8"/>
        <v>1617777.7777777817</v>
      </c>
      <c r="C79" s="6">
        <f t="shared" si="5"/>
        <v>15555.555555555555</v>
      </c>
      <c r="D79" s="5">
        <f t="shared" si="6"/>
        <v>13481.481481481516</v>
      </c>
      <c r="E79" s="6">
        <f t="shared" si="7"/>
        <v>29037.037037037073</v>
      </c>
    </row>
    <row r="80" spans="1:5" ht="16.5" thickTop="1" thickBot="1" x14ac:dyDescent="0.3">
      <c r="A80" s="4">
        <f t="shared" si="9"/>
        <v>45139</v>
      </c>
      <c r="B80" s="5">
        <f t="shared" si="8"/>
        <v>1602222.2222222262</v>
      </c>
      <c r="C80" s="6">
        <f t="shared" si="5"/>
        <v>15555.555555555555</v>
      </c>
      <c r="D80" s="5">
        <f t="shared" si="6"/>
        <v>13351.851851851885</v>
      </c>
      <c r="E80" s="6">
        <f t="shared" si="7"/>
        <v>28907.407407407438</v>
      </c>
    </row>
    <row r="81" spans="1:5" ht="16.5" thickTop="1" thickBot="1" x14ac:dyDescent="0.3">
      <c r="A81" s="4">
        <f t="shared" si="9"/>
        <v>45170</v>
      </c>
      <c r="B81" s="5">
        <f t="shared" si="8"/>
        <v>1586666.6666666707</v>
      </c>
      <c r="C81" s="6">
        <f t="shared" si="5"/>
        <v>15555.555555555555</v>
      </c>
      <c r="D81" s="5">
        <f t="shared" si="6"/>
        <v>13222.222222222257</v>
      </c>
      <c r="E81" s="6">
        <f t="shared" si="7"/>
        <v>28777.77777777781</v>
      </c>
    </row>
    <row r="82" spans="1:5" ht="16.5" thickTop="1" thickBot="1" x14ac:dyDescent="0.3">
      <c r="A82" s="4">
        <f t="shared" si="9"/>
        <v>45200</v>
      </c>
      <c r="B82" s="5">
        <f t="shared" si="8"/>
        <v>1571111.1111111152</v>
      </c>
      <c r="C82" s="6">
        <f t="shared" si="5"/>
        <v>15555.555555555555</v>
      </c>
      <c r="D82" s="5">
        <f t="shared" si="6"/>
        <v>13092.592592592628</v>
      </c>
      <c r="E82" s="6">
        <f t="shared" si="7"/>
        <v>28648.148148148182</v>
      </c>
    </row>
    <row r="83" spans="1:5" ht="16.5" thickTop="1" thickBot="1" x14ac:dyDescent="0.3">
      <c r="A83" s="4">
        <f t="shared" si="9"/>
        <v>45231</v>
      </c>
      <c r="B83" s="5">
        <f t="shared" si="8"/>
        <v>1555555.5555555597</v>
      </c>
      <c r="C83" s="6">
        <f t="shared" si="5"/>
        <v>15555.555555555555</v>
      </c>
      <c r="D83" s="5">
        <f t="shared" si="6"/>
        <v>12962.962962962998</v>
      </c>
      <c r="E83" s="6">
        <f t="shared" si="7"/>
        <v>28518.518518518555</v>
      </c>
    </row>
    <row r="84" spans="1:5" ht="16.5" thickTop="1" thickBot="1" x14ac:dyDescent="0.3">
      <c r="A84" s="4">
        <f t="shared" si="9"/>
        <v>45261</v>
      </c>
      <c r="B84" s="5">
        <f t="shared" si="8"/>
        <v>1540000.0000000042</v>
      </c>
      <c r="C84" s="6">
        <f t="shared" si="5"/>
        <v>15555.555555555555</v>
      </c>
      <c r="D84" s="5">
        <f t="shared" si="6"/>
        <v>12833.33333333337</v>
      </c>
      <c r="E84" s="6">
        <f t="shared" si="7"/>
        <v>28388.888888888927</v>
      </c>
    </row>
    <row r="85" spans="1:5" ht="16.5" thickTop="1" thickBot="1" x14ac:dyDescent="0.3">
      <c r="A85" s="4">
        <f t="shared" si="9"/>
        <v>45292</v>
      </c>
      <c r="B85" s="5">
        <f t="shared" si="8"/>
        <v>1524444.4444444487</v>
      </c>
      <c r="C85" s="6">
        <f t="shared" si="5"/>
        <v>15555.555555555555</v>
      </c>
      <c r="D85" s="5">
        <f t="shared" si="6"/>
        <v>12703.703703703739</v>
      </c>
      <c r="E85" s="6">
        <f t="shared" si="7"/>
        <v>28259.259259259292</v>
      </c>
    </row>
    <row r="86" spans="1:5" ht="16.5" thickTop="1" thickBot="1" x14ac:dyDescent="0.3">
      <c r="A86" s="4">
        <f t="shared" si="9"/>
        <v>45323</v>
      </c>
      <c r="B86" s="5">
        <f t="shared" si="8"/>
        <v>1508888.8888888932</v>
      </c>
      <c r="C86" s="6">
        <f t="shared" si="5"/>
        <v>15555.555555555555</v>
      </c>
      <c r="D86" s="5">
        <f t="shared" si="6"/>
        <v>12574.074074074109</v>
      </c>
      <c r="E86" s="6">
        <f t="shared" si="7"/>
        <v>28129.629629629664</v>
      </c>
    </row>
    <row r="87" spans="1:5" ht="16.5" thickTop="1" thickBot="1" x14ac:dyDescent="0.3">
      <c r="A87" s="4">
        <f t="shared" si="9"/>
        <v>45352</v>
      </c>
      <c r="B87" s="5">
        <f t="shared" si="8"/>
        <v>1493333.3333333377</v>
      </c>
      <c r="C87" s="6">
        <f t="shared" si="5"/>
        <v>15555.555555555555</v>
      </c>
      <c r="D87" s="5">
        <f t="shared" si="6"/>
        <v>12444.444444444482</v>
      </c>
      <c r="E87" s="6">
        <f t="shared" si="7"/>
        <v>28000.000000000036</v>
      </c>
    </row>
    <row r="88" spans="1:5" ht="16.5" thickTop="1" thickBot="1" x14ac:dyDescent="0.3">
      <c r="A88" s="4">
        <f t="shared" si="9"/>
        <v>45383</v>
      </c>
      <c r="B88" s="5">
        <f t="shared" si="8"/>
        <v>1477777.7777777822</v>
      </c>
      <c r="C88" s="6">
        <f t="shared" si="5"/>
        <v>15555.555555555555</v>
      </c>
      <c r="D88" s="5">
        <f t="shared" si="6"/>
        <v>12314.814814814852</v>
      </c>
      <c r="E88" s="6">
        <f t="shared" si="7"/>
        <v>27870.370370370409</v>
      </c>
    </row>
    <row r="89" spans="1:5" ht="16.5" thickTop="1" thickBot="1" x14ac:dyDescent="0.3">
      <c r="A89" s="4">
        <f t="shared" si="9"/>
        <v>45413</v>
      </c>
      <c r="B89" s="5">
        <f t="shared" si="8"/>
        <v>1462222.2222222267</v>
      </c>
      <c r="C89" s="6">
        <f t="shared" si="5"/>
        <v>15555.555555555555</v>
      </c>
      <c r="D89" s="5">
        <f t="shared" si="6"/>
        <v>12185.185185185224</v>
      </c>
      <c r="E89" s="6">
        <f t="shared" si="7"/>
        <v>27740.740740740781</v>
      </c>
    </row>
    <row r="90" spans="1:5" ht="16.5" thickTop="1" thickBot="1" x14ac:dyDescent="0.3">
      <c r="A90" s="4">
        <f t="shared" si="9"/>
        <v>45444</v>
      </c>
      <c r="B90" s="5">
        <f t="shared" si="8"/>
        <v>1446666.6666666712</v>
      </c>
      <c r="C90" s="6">
        <f t="shared" si="5"/>
        <v>15555.555555555555</v>
      </c>
      <c r="D90" s="5">
        <f t="shared" si="6"/>
        <v>12055.555555555593</v>
      </c>
      <c r="E90" s="6">
        <f t="shared" si="7"/>
        <v>27611.111111111146</v>
      </c>
    </row>
    <row r="91" spans="1:5" ht="16.5" thickTop="1" thickBot="1" x14ac:dyDescent="0.3">
      <c r="A91" s="4">
        <f t="shared" si="9"/>
        <v>45474</v>
      </c>
      <c r="B91" s="5">
        <f t="shared" si="8"/>
        <v>1431111.1111111157</v>
      </c>
      <c r="C91" s="6">
        <f t="shared" si="5"/>
        <v>15555.555555555555</v>
      </c>
      <c r="D91" s="5">
        <f t="shared" si="6"/>
        <v>11925.925925925963</v>
      </c>
      <c r="E91" s="6">
        <f t="shared" si="7"/>
        <v>27481.481481481518</v>
      </c>
    </row>
    <row r="92" spans="1:5" ht="16.5" thickTop="1" thickBot="1" x14ac:dyDescent="0.3">
      <c r="A92" s="4">
        <f t="shared" si="9"/>
        <v>45505</v>
      </c>
      <c r="B92" s="5">
        <f t="shared" si="8"/>
        <v>1415555.5555555602</v>
      </c>
      <c r="C92" s="6">
        <f t="shared" si="5"/>
        <v>15555.555555555555</v>
      </c>
      <c r="D92" s="5">
        <f t="shared" si="6"/>
        <v>11796.296296296336</v>
      </c>
      <c r="E92" s="6">
        <f t="shared" si="7"/>
        <v>27351.85185185189</v>
      </c>
    </row>
    <row r="93" spans="1:5" ht="16.5" thickTop="1" thickBot="1" x14ac:dyDescent="0.3">
      <c r="A93" s="4">
        <f t="shared" si="9"/>
        <v>45536</v>
      </c>
      <c r="B93" s="5">
        <f t="shared" si="8"/>
        <v>1400000.0000000047</v>
      </c>
      <c r="C93" s="6">
        <f t="shared" si="5"/>
        <v>15555.555555555555</v>
      </c>
      <c r="D93" s="5">
        <f t="shared" si="6"/>
        <v>11666.666666666706</v>
      </c>
      <c r="E93" s="6">
        <f t="shared" si="7"/>
        <v>27222.222222222263</v>
      </c>
    </row>
    <row r="94" spans="1:5" ht="16.5" thickTop="1" thickBot="1" x14ac:dyDescent="0.3">
      <c r="A94" s="4">
        <f t="shared" si="9"/>
        <v>45566</v>
      </c>
      <c r="B94" s="5">
        <f t="shared" si="8"/>
        <v>1384444.4444444492</v>
      </c>
      <c r="C94" s="6">
        <f t="shared" si="5"/>
        <v>15555.555555555555</v>
      </c>
      <c r="D94" s="5">
        <f t="shared" si="6"/>
        <v>11537.037037037078</v>
      </c>
      <c r="E94" s="6">
        <f t="shared" si="7"/>
        <v>27092.592592592635</v>
      </c>
    </row>
    <row r="95" spans="1:5" ht="16.5" thickTop="1" thickBot="1" x14ac:dyDescent="0.3">
      <c r="A95" s="4">
        <f t="shared" si="9"/>
        <v>45597</v>
      </c>
      <c r="B95" s="5">
        <f t="shared" si="8"/>
        <v>1368888.8888888936</v>
      </c>
      <c r="C95" s="6">
        <f t="shared" si="5"/>
        <v>15555.555555555555</v>
      </c>
      <c r="D95" s="5">
        <f t="shared" si="6"/>
        <v>11407.407407407447</v>
      </c>
      <c r="E95" s="6">
        <f t="shared" si="7"/>
        <v>26962.962962963</v>
      </c>
    </row>
    <row r="96" spans="1:5" ht="16.5" thickTop="1" thickBot="1" x14ac:dyDescent="0.3">
      <c r="A96" s="4">
        <f t="shared" si="9"/>
        <v>45627</v>
      </c>
      <c r="B96" s="5">
        <f t="shared" si="8"/>
        <v>1353333.3333333381</v>
      </c>
      <c r="C96" s="6">
        <f t="shared" si="5"/>
        <v>15555.555555555555</v>
      </c>
      <c r="D96" s="5">
        <f t="shared" si="6"/>
        <v>11277.777777777817</v>
      </c>
      <c r="E96" s="6">
        <f t="shared" si="7"/>
        <v>26833.333333333372</v>
      </c>
    </row>
    <row r="97" spans="1:5" ht="16.5" thickTop="1" thickBot="1" x14ac:dyDescent="0.3">
      <c r="A97" s="4">
        <f t="shared" si="9"/>
        <v>45658</v>
      </c>
      <c r="B97" s="5">
        <f t="shared" si="8"/>
        <v>1337777.7777777826</v>
      </c>
      <c r="C97" s="6">
        <f t="shared" si="5"/>
        <v>15555.555555555555</v>
      </c>
      <c r="D97" s="5">
        <f t="shared" si="6"/>
        <v>11148.14814814819</v>
      </c>
      <c r="E97" s="6">
        <f t="shared" si="7"/>
        <v>26703.703703703744</v>
      </c>
    </row>
    <row r="98" spans="1:5" ht="16.5" thickTop="1" thickBot="1" x14ac:dyDescent="0.3">
      <c r="A98" s="4">
        <f t="shared" si="9"/>
        <v>45689</v>
      </c>
      <c r="B98" s="5">
        <f t="shared" si="8"/>
        <v>1322222.2222222271</v>
      </c>
      <c r="C98" s="6">
        <f t="shared" si="5"/>
        <v>15555.555555555555</v>
      </c>
      <c r="D98" s="5">
        <f t="shared" si="6"/>
        <v>11018.51851851856</v>
      </c>
      <c r="E98" s="6">
        <f t="shared" si="7"/>
        <v>26574.074074074117</v>
      </c>
    </row>
    <row r="99" spans="1:5" ht="16.5" thickTop="1" thickBot="1" x14ac:dyDescent="0.3">
      <c r="A99" s="4">
        <f t="shared" si="9"/>
        <v>45717</v>
      </c>
      <c r="B99" s="5">
        <f t="shared" si="8"/>
        <v>1306666.6666666716</v>
      </c>
      <c r="C99" s="6">
        <f t="shared" si="5"/>
        <v>15555.555555555555</v>
      </c>
      <c r="D99" s="5">
        <f t="shared" si="6"/>
        <v>10888.888888888931</v>
      </c>
      <c r="E99" s="6">
        <f t="shared" si="7"/>
        <v>26444.444444444485</v>
      </c>
    </row>
    <row r="100" spans="1:5" ht="16.5" thickTop="1" thickBot="1" x14ac:dyDescent="0.3">
      <c r="A100" s="4">
        <f t="shared" si="9"/>
        <v>45748</v>
      </c>
      <c r="B100" s="5">
        <f t="shared" si="8"/>
        <v>1291111.1111111161</v>
      </c>
      <c r="C100" s="6">
        <f t="shared" si="5"/>
        <v>15555.555555555555</v>
      </c>
      <c r="D100" s="5">
        <f t="shared" si="6"/>
        <v>10759.259259259301</v>
      </c>
      <c r="E100" s="6">
        <f t="shared" si="7"/>
        <v>26314.814814814854</v>
      </c>
    </row>
    <row r="101" spans="1:5" ht="16.5" thickTop="1" thickBot="1" x14ac:dyDescent="0.3">
      <c r="A101" s="4">
        <f t="shared" si="9"/>
        <v>45778</v>
      </c>
      <c r="B101" s="5">
        <f t="shared" si="8"/>
        <v>1275555.5555555606</v>
      </c>
      <c r="C101" s="6">
        <f t="shared" si="5"/>
        <v>15555.555555555555</v>
      </c>
      <c r="D101" s="5">
        <f t="shared" si="6"/>
        <v>10629.629629629673</v>
      </c>
      <c r="E101" s="6">
        <f t="shared" si="7"/>
        <v>26185.185185185226</v>
      </c>
    </row>
    <row r="102" spans="1:5" ht="16.5" thickTop="1" thickBot="1" x14ac:dyDescent="0.3">
      <c r="A102" s="4">
        <f t="shared" si="9"/>
        <v>45809</v>
      </c>
      <c r="B102" s="5">
        <f t="shared" si="8"/>
        <v>1260000.0000000051</v>
      </c>
      <c r="C102" s="6">
        <f t="shared" si="5"/>
        <v>15555.555555555555</v>
      </c>
      <c r="D102" s="5">
        <f t="shared" si="6"/>
        <v>10500.000000000044</v>
      </c>
      <c r="E102" s="6">
        <f t="shared" si="7"/>
        <v>26055.555555555598</v>
      </c>
    </row>
    <row r="103" spans="1:5" ht="16.5" thickTop="1" thickBot="1" x14ac:dyDescent="0.3">
      <c r="A103" s="4">
        <f t="shared" si="9"/>
        <v>45839</v>
      </c>
      <c r="B103" s="5">
        <f t="shared" si="8"/>
        <v>1244444.4444444496</v>
      </c>
      <c r="C103" s="6">
        <f t="shared" si="5"/>
        <v>15555.555555555555</v>
      </c>
      <c r="D103" s="5">
        <f t="shared" si="6"/>
        <v>10370.370370370414</v>
      </c>
      <c r="E103" s="6">
        <f t="shared" si="7"/>
        <v>25925.925925925971</v>
      </c>
    </row>
    <row r="104" spans="1:5" ht="16.5" thickTop="1" thickBot="1" x14ac:dyDescent="0.3">
      <c r="A104" s="4">
        <f t="shared" si="9"/>
        <v>45870</v>
      </c>
      <c r="B104" s="5">
        <f t="shared" si="8"/>
        <v>1228888.8888888941</v>
      </c>
      <c r="C104" s="6">
        <f t="shared" si="5"/>
        <v>15555.555555555555</v>
      </c>
      <c r="D104" s="5">
        <f t="shared" si="6"/>
        <v>10240.740740740785</v>
      </c>
      <c r="E104" s="6">
        <f t="shared" si="7"/>
        <v>25796.296296296339</v>
      </c>
    </row>
    <row r="105" spans="1:5" ht="16.5" thickTop="1" thickBot="1" x14ac:dyDescent="0.3">
      <c r="A105" s="4">
        <f t="shared" si="9"/>
        <v>45901</v>
      </c>
      <c r="B105" s="5">
        <f t="shared" si="8"/>
        <v>1213333.3333333386</v>
      </c>
      <c r="C105" s="6">
        <f t="shared" si="5"/>
        <v>15555.555555555555</v>
      </c>
      <c r="D105" s="5">
        <f t="shared" si="6"/>
        <v>10111.111111111155</v>
      </c>
      <c r="E105" s="6">
        <f t="shared" si="7"/>
        <v>25666.666666666708</v>
      </c>
    </row>
    <row r="106" spans="1:5" ht="16.5" thickTop="1" thickBot="1" x14ac:dyDescent="0.3">
      <c r="A106" s="4">
        <f t="shared" si="9"/>
        <v>45931</v>
      </c>
      <c r="B106" s="5">
        <f t="shared" si="8"/>
        <v>1197777.7777777831</v>
      </c>
      <c r="C106" s="6">
        <f t="shared" si="5"/>
        <v>15555.555555555555</v>
      </c>
      <c r="D106" s="5">
        <f t="shared" si="6"/>
        <v>9981.4814814815272</v>
      </c>
      <c r="E106" s="6">
        <f t="shared" si="7"/>
        <v>25537.03703703708</v>
      </c>
    </row>
    <row r="107" spans="1:5" ht="16.5" thickTop="1" thickBot="1" x14ac:dyDescent="0.3">
      <c r="A107" s="4">
        <f t="shared" si="9"/>
        <v>45962</v>
      </c>
      <c r="B107" s="5">
        <f t="shared" si="8"/>
        <v>1182222.2222222276</v>
      </c>
      <c r="C107" s="6">
        <f t="shared" si="5"/>
        <v>15555.555555555555</v>
      </c>
      <c r="D107" s="5">
        <f t="shared" si="6"/>
        <v>9851.8518518518977</v>
      </c>
      <c r="E107" s="6">
        <f t="shared" si="7"/>
        <v>25407.407407407452</v>
      </c>
    </row>
    <row r="108" spans="1:5" ht="16.5" thickTop="1" thickBot="1" x14ac:dyDescent="0.3">
      <c r="A108" s="4">
        <f t="shared" si="9"/>
        <v>45992</v>
      </c>
      <c r="B108" s="5">
        <f t="shared" si="8"/>
        <v>1166666.6666666721</v>
      </c>
      <c r="C108" s="6">
        <f t="shared" si="5"/>
        <v>15555.555555555555</v>
      </c>
      <c r="D108" s="5">
        <f t="shared" si="6"/>
        <v>9722.2222222222681</v>
      </c>
      <c r="E108" s="6">
        <f t="shared" si="7"/>
        <v>25277.777777777825</v>
      </c>
    </row>
    <row r="109" spans="1:5" ht="16.5" thickTop="1" thickBot="1" x14ac:dyDescent="0.3">
      <c r="A109" s="4">
        <f t="shared" si="9"/>
        <v>46023</v>
      </c>
      <c r="B109" s="5">
        <f t="shared" si="8"/>
        <v>1151111.1111111166</v>
      </c>
      <c r="C109" s="6">
        <f t="shared" si="5"/>
        <v>15555.555555555555</v>
      </c>
      <c r="D109" s="5">
        <f t="shared" si="6"/>
        <v>9592.5925925926385</v>
      </c>
      <c r="E109" s="6">
        <f t="shared" si="7"/>
        <v>25148.148148148193</v>
      </c>
    </row>
    <row r="110" spans="1:5" ht="16.5" thickTop="1" thickBot="1" x14ac:dyDescent="0.3">
      <c r="A110" s="4">
        <f t="shared" si="9"/>
        <v>46054</v>
      </c>
      <c r="B110" s="5">
        <f t="shared" si="8"/>
        <v>1135555.5555555611</v>
      </c>
      <c r="C110" s="6">
        <f t="shared" si="5"/>
        <v>15555.555555555555</v>
      </c>
      <c r="D110" s="5">
        <f t="shared" si="6"/>
        <v>9462.962962963009</v>
      </c>
      <c r="E110" s="6">
        <f t="shared" si="7"/>
        <v>25018.518518518562</v>
      </c>
    </row>
    <row r="111" spans="1:5" ht="16.5" thickTop="1" thickBot="1" x14ac:dyDescent="0.3">
      <c r="A111" s="4">
        <f t="shared" si="9"/>
        <v>46082</v>
      </c>
      <c r="B111" s="5">
        <f t="shared" si="8"/>
        <v>1120000.0000000056</v>
      </c>
      <c r="C111" s="6">
        <f t="shared" si="5"/>
        <v>15555.555555555555</v>
      </c>
      <c r="D111" s="5">
        <f t="shared" si="6"/>
        <v>9333.3333333333812</v>
      </c>
      <c r="E111" s="6">
        <f t="shared" si="7"/>
        <v>24888.888888888934</v>
      </c>
    </row>
    <row r="112" spans="1:5" ht="16.5" thickTop="1" thickBot="1" x14ac:dyDescent="0.3">
      <c r="A112" s="4">
        <f t="shared" si="9"/>
        <v>46113</v>
      </c>
      <c r="B112" s="5">
        <f t="shared" si="8"/>
        <v>1104444.4444444501</v>
      </c>
      <c r="C112" s="6">
        <f t="shared" si="5"/>
        <v>15555.555555555555</v>
      </c>
      <c r="D112" s="5">
        <f t="shared" si="6"/>
        <v>9203.7037037037517</v>
      </c>
      <c r="E112" s="6">
        <f t="shared" si="7"/>
        <v>24759.259259259306</v>
      </c>
    </row>
    <row r="113" spans="1:5" ht="16.5" thickTop="1" thickBot="1" x14ac:dyDescent="0.3">
      <c r="A113" s="4">
        <f t="shared" si="9"/>
        <v>46143</v>
      </c>
      <c r="B113" s="5">
        <f t="shared" si="8"/>
        <v>1088888.8888888946</v>
      </c>
      <c r="C113" s="6">
        <f t="shared" si="5"/>
        <v>15555.555555555555</v>
      </c>
      <c r="D113" s="5">
        <f t="shared" si="6"/>
        <v>9074.0740740741221</v>
      </c>
      <c r="E113" s="6">
        <f t="shared" si="7"/>
        <v>24629.629629629679</v>
      </c>
    </row>
    <row r="114" spans="1:5" ht="16.5" thickTop="1" thickBot="1" x14ac:dyDescent="0.3">
      <c r="A114" s="4">
        <f t="shared" si="9"/>
        <v>46174</v>
      </c>
      <c r="B114" s="5">
        <f t="shared" si="8"/>
        <v>1073333.3333333391</v>
      </c>
      <c r="C114" s="6">
        <f t="shared" si="5"/>
        <v>15555.555555555555</v>
      </c>
      <c r="D114" s="5">
        <f t="shared" si="6"/>
        <v>8944.4444444444925</v>
      </c>
      <c r="E114" s="6">
        <f t="shared" si="7"/>
        <v>24500.000000000047</v>
      </c>
    </row>
    <row r="115" spans="1:5" ht="16.5" thickTop="1" thickBot="1" x14ac:dyDescent="0.3">
      <c r="A115" s="4">
        <f t="shared" si="9"/>
        <v>46204</v>
      </c>
      <c r="B115" s="5">
        <f t="shared" si="8"/>
        <v>1057777.7777777836</v>
      </c>
      <c r="C115" s="6">
        <f t="shared" si="5"/>
        <v>15555.555555555555</v>
      </c>
      <c r="D115" s="5">
        <f t="shared" si="6"/>
        <v>8814.814814814863</v>
      </c>
      <c r="E115" s="6">
        <f t="shared" si="7"/>
        <v>24370.370370370416</v>
      </c>
    </row>
    <row r="116" spans="1:5" ht="16.5" thickTop="1" thickBot="1" x14ac:dyDescent="0.3">
      <c r="A116" s="4">
        <f t="shared" si="9"/>
        <v>46235</v>
      </c>
      <c r="B116" s="5">
        <f t="shared" si="8"/>
        <v>1042222.2222222281</v>
      </c>
      <c r="C116" s="6">
        <f t="shared" si="5"/>
        <v>15555.555555555555</v>
      </c>
      <c r="D116" s="5">
        <f t="shared" si="6"/>
        <v>8685.1851851852352</v>
      </c>
      <c r="E116" s="6">
        <f t="shared" si="7"/>
        <v>24240.740740740788</v>
      </c>
    </row>
    <row r="117" spans="1:5" ht="16.5" thickTop="1" thickBot="1" x14ac:dyDescent="0.3">
      <c r="A117" s="4">
        <f t="shared" si="9"/>
        <v>46266</v>
      </c>
      <c r="B117" s="5">
        <f t="shared" si="8"/>
        <v>1026666.6666666726</v>
      </c>
      <c r="C117" s="6">
        <f t="shared" si="5"/>
        <v>15555.555555555555</v>
      </c>
      <c r="D117" s="5">
        <f t="shared" si="6"/>
        <v>8555.5555555556057</v>
      </c>
      <c r="E117" s="6">
        <f t="shared" si="7"/>
        <v>24111.11111111116</v>
      </c>
    </row>
    <row r="118" spans="1:5" ht="16.5" thickTop="1" thickBot="1" x14ac:dyDescent="0.3">
      <c r="A118" s="4">
        <f t="shared" si="9"/>
        <v>46296</v>
      </c>
      <c r="B118" s="5">
        <f t="shared" si="8"/>
        <v>1011111.1111111171</v>
      </c>
      <c r="C118" s="6">
        <f t="shared" si="5"/>
        <v>15555.555555555555</v>
      </c>
      <c r="D118" s="5">
        <f t="shared" si="6"/>
        <v>8425.9259259259761</v>
      </c>
      <c r="E118" s="6">
        <f t="shared" si="7"/>
        <v>23981.481481481533</v>
      </c>
    </row>
    <row r="119" spans="1:5" ht="16.5" thickTop="1" thickBot="1" x14ac:dyDescent="0.3">
      <c r="A119" s="4">
        <f t="shared" si="9"/>
        <v>46327</v>
      </c>
      <c r="B119" s="5">
        <f t="shared" si="8"/>
        <v>995555.55555556156</v>
      </c>
      <c r="C119" s="6">
        <f t="shared" si="5"/>
        <v>15555.555555555555</v>
      </c>
      <c r="D119" s="5">
        <f t="shared" si="6"/>
        <v>8296.2962962963466</v>
      </c>
      <c r="E119" s="6">
        <f t="shared" si="7"/>
        <v>23851.851851851901</v>
      </c>
    </row>
    <row r="120" spans="1:5" ht="16.5" thickTop="1" thickBot="1" x14ac:dyDescent="0.3">
      <c r="A120" s="4">
        <f t="shared" si="9"/>
        <v>46357</v>
      </c>
      <c r="B120" s="5">
        <f t="shared" si="8"/>
        <v>980000.00000000605</v>
      </c>
      <c r="C120" s="6">
        <f t="shared" si="5"/>
        <v>15555.555555555555</v>
      </c>
      <c r="D120" s="5">
        <f t="shared" si="6"/>
        <v>8166.6666666667179</v>
      </c>
      <c r="E120" s="6">
        <f t="shared" si="7"/>
        <v>23722.222222222274</v>
      </c>
    </row>
    <row r="121" spans="1:5" ht="16.5" thickTop="1" thickBot="1" x14ac:dyDescent="0.3">
      <c r="A121" s="4">
        <f t="shared" si="9"/>
        <v>46388</v>
      </c>
      <c r="B121" s="5">
        <f t="shared" si="8"/>
        <v>964444.44444445055</v>
      </c>
      <c r="C121" s="6">
        <f t="shared" si="5"/>
        <v>15555.555555555555</v>
      </c>
      <c r="D121" s="5">
        <f t="shared" si="6"/>
        <v>8037.0370370370883</v>
      </c>
      <c r="E121" s="6">
        <f t="shared" si="7"/>
        <v>23592.592592592642</v>
      </c>
    </row>
    <row r="122" spans="1:5" ht="16.5" thickTop="1" thickBot="1" x14ac:dyDescent="0.3">
      <c r="A122" s="4">
        <f t="shared" si="9"/>
        <v>46419</v>
      </c>
      <c r="B122" s="5">
        <f t="shared" si="8"/>
        <v>948888.88888889505</v>
      </c>
      <c r="C122" s="6">
        <f t="shared" si="5"/>
        <v>15555.555555555555</v>
      </c>
      <c r="D122" s="5">
        <f t="shared" si="6"/>
        <v>7907.4074074074597</v>
      </c>
      <c r="E122" s="6">
        <f t="shared" si="7"/>
        <v>23462.962962963014</v>
      </c>
    </row>
    <row r="123" spans="1:5" ht="16.5" thickTop="1" thickBot="1" x14ac:dyDescent="0.3">
      <c r="A123" s="4">
        <f t="shared" si="9"/>
        <v>46447</v>
      </c>
      <c r="B123" s="5">
        <f t="shared" si="8"/>
        <v>933333.33333333954</v>
      </c>
      <c r="C123" s="6">
        <f t="shared" si="5"/>
        <v>15555.555555555555</v>
      </c>
      <c r="D123" s="5">
        <f t="shared" si="6"/>
        <v>7777.7777777778292</v>
      </c>
      <c r="E123" s="6">
        <f t="shared" si="7"/>
        <v>23333.333333333383</v>
      </c>
    </row>
    <row r="124" spans="1:5" ht="16.5" thickTop="1" thickBot="1" x14ac:dyDescent="0.3">
      <c r="A124" s="4">
        <f t="shared" si="9"/>
        <v>46478</v>
      </c>
      <c r="B124" s="5">
        <f t="shared" si="8"/>
        <v>917777.77777778404</v>
      </c>
      <c r="C124" s="6">
        <f t="shared" si="5"/>
        <v>15555.555555555555</v>
      </c>
      <c r="D124" s="5">
        <f t="shared" si="6"/>
        <v>7648.1481481482006</v>
      </c>
      <c r="E124" s="6">
        <f t="shared" si="7"/>
        <v>23203.703703703755</v>
      </c>
    </row>
    <row r="125" spans="1:5" ht="16.5" thickTop="1" thickBot="1" x14ac:dyDescent="0.3">
      <c r="A125" s="4">
        <f t="shared" si="9"/>
        <v>46508</v>
      </c>
      <c r="B125" s="5">
        <f t="shared" si="8"/>
        <v>902222.22222222853</v>
      </c>
      <c r="C125" s="6">
        <f t="shared" si="5"/>
        <v>15555.555555555555</v>
      </c>
      <c r="D125" s="5">
        <f t="shared" si="6"/>
        <v>7518.5185185185719</v>
      </c>
      <c r="E125" s="6">
        <f t="shared" si="7"/>
        <v>23074.074074074128</v>
      </c>
    </row>
    <row r="126" spans="1:5" ht="16.5" thickTop="1" thickBot="1" x14ac:dyDescent="0.3">
      <c r="A126" s="4">
        <f t="shared" si="9"/>
        <v>46539</v>
      </c>
      <c r="B126" s="5">
        <f t="shared" si="8"/>
        <v>886666.66666667303</v>
      </c>
      <c r="C126" s="6">
        <f t="shared" si="5"/>
        <v>15555.555555555555</v>
      </c>
      <c r="D126" s="5">
        <f t="shared" si="6"/>
        <v>7388.8888888889423</v>
      </c>
      <c r="E126" s="6">
        <f t="shared" si="7"/>
        <v>22944.444444444496</v>
      </c>
    </row>
    <row r="127" spans="1:5" ht="16.5" thickTop="1" thickBot="1" x14ac:dyDescent="0.3">
      <c r="A127" s="4">
        <f t="shared" si="9"/>
        <v>46569</v>
      </c>
      <c r="B127" s="5">
        <f t="shared" si="8"/>
        <v>871111.11111111753</v>
      </c>
      <c r="C127" s="6">
        <f t="shared" si="5"/>
        <v>15555.555555555555</v>
      </c>
      <c r="D127" s="5">
        <f t="shared" si="6"/>
        <v>7259.2592592593137</v>
      </c>
      <c r="E127" s="6">
        <f t="shared" si="7"/>
        <v>22814.814814814868</v>
      </c>
    </row>
    <row r="128" spans="1:5" ht="16.5" thickTop="1" thickBot="1" x14ac:dyDescent="0.3">
      <c r="A128" s="4">
        <f t="shared" si="9"/>
        <v>46600</v>
      </c>
      <c r="B128" s="5">
        <f t="shared" si="8"/>
        <v>855555.55555556202</v>
      </c>
      <c r="C128" s="6">
        <f t="shared" si="5"/>
        <v>15555.555555555555</v>
      </c>
      <c r="D128" s="5">
        <f t="shared" si="6"/>
        <v>7129.6296296296832</v>
      </c>
      <c r="E128" s="6">
        <f t="shared" si="7"/>
        <v>22685.185185185237</v>
      </c>
    </row>
    <row r="129" spans="1:5" ht="16.5" thickTop="1" thickBot="1" x14ac:dyDescent="0.3">
      <c r="A129" s="4">
        <f t="shared" si="9"/>
        <v>46631</v>
      </c>
      <c r="B129" s="5">
        <f t="shared" si="8"/>
        <v>840000.00000000652</v>
      </c>
      <c r="C129" s="6">
        <f t="shared" si="5"/>
        <v>15555.555555555555</v>
      </c>
      <c r="D129" s="5">
        <f t="shared" si="6"/>
        <v>7000.0000000000546</v>
      </c>
      <c r="E129" s="6">
        <f t="shared" si="7"/>
        <v>22555.555555555609</v>
      </c>
    </row>
    <row r="130" spans="1:5" ht="16.5" thickTop="1" thickBot="1" x14ac:dyDescent="0.3">
      <c r="A130" s="4">
        <f t="shared" si="9"/>
        <v>46661</v>
      </c>
      <c r="B130" s="5">
        <f t="shared" si="8"/>
        <v>824444.44444445102</v>
      </c>
      <c r="C130" s="6">
        <f t="shared" si="5"/>
        <v>15555.555555555555</v>
      </c>
      <c r="D130" s="5">
        <f t="shared" si="6"/>
        <v>6870.3703703704259</v>
      </c>
      <c r="E130" s="6">
        <f t="shared" si="7"/>
        <v>22425.925925925982</v>
      </c>
    </row>
    <row r="131" spans="1:5" ht="16.5" thickTop="1" thickBot="1" x14ac:dyDescent="0.3">
      <c r="A131" s="4">
        <f t="shared" si="9"/>
        <v>46692</v>
      </c>
      <c r="B131" s="5">
        <f t="shared" si="8"/>
        <v>808888.88888889551</v>
      </c>
      <c r="C131" s="6">
        <f t="shared" si="5"/>
        <v>15555.555555555555</v>
      </c>
      <c r="D131" s="5">
        <f t="shared" si="6"/>
        <v>6740.7407407407964</v>
      </c>
      <c r="E131" s="6">
        <f t="shared" si="7"/>
        <v>22296.29629629635</v>
      </c>
    </row>
    <row r="132" spans="1:5" ht="16.5" thickTop="1" thickBot="1" x14ac:dyDescent="0.3">
      <c r="A132" s="4">
        <f t="shared" si="9"/>
        <v>46722</v>
      </c>
      <c r="B132" s="5">
        <f t="shared" si="8"/>
        <v>793333.33333334001</v>
      </c>
      <c r="C132" s="6">
        <f t="shared" ref="C132:C183" si="10">$G$2/$G$5</f>
        <v>15555.555555555555</v>
      </c>
      <c r="D132" s="5">
        <f t="shared" ref="D132:D183" si="11">B132*$G$3/12</f>
        <v>6611.1111111111677</v>
      </c>
      <c r="E132" s="6">
        <f t="shared" ref="E132:E183" si="12">C132+D132</f>
        <v>22166.666666666722</v>
      </c>
    </row>
    <row r="133" spans="1:5" ht="16.5" thickTop="1" thickBot="1" x14ac:dyDescent="0.3">
      <c r="A133" s="4">
        <f t="shared" si="9"/>
        <v>46753</v>
      </c>
      <c r="B133" s="5">
        <f t="shared" ref="B133:B183" si="13">B132-C132</f>
        <v>777777.7777777845</v>
      </c>
      <c r="C133" s="6">
        <f t="shared" si="10"/>
        <v>15555.555555555555</v>
      </c>
      <c r="D133" s="5">
        <f t="shared" si="11"/>
        <v>6481.4814814815372</v>
      </c>
      <c r="E133" s="6">
        <f t="shared" si="12"/>
        <v>22037.037037037091</v>
      </c>
    </row>
    <row r="134" spans="1:5" ht="16.5" thickTop="1" thickBot="1" x14ac:dyDescent="0.3">
      <c r="A134" s="4">
        <f t="shared" ref="A134:A183" si="14">EDATE(A133,1)</f>
        <v>46784</v>
      </c>
      <c r="B134" s="5">
        <f t="shared" si="13"/>
        <v>762222.222222229</v>
      </c>
      <c r="C134" s="6">
        <f t="shared" si="10"/>
        <v>15555.555555555555</v>
      </c>
      <c r="D134" s="5">
        <f t="shared" si="11"/>
        <v>6351.8518518519086</v>
      </c>
      <c r="E134" s="6">
        <f t="shared" si="12"/>
        <v>21907.407407407463</v>
      </c>
    </row>
    <row r="135" spans="1:5" ht="16.5" thickTop="1" thickBot="1" x14ac:dyDescent="0.3">
      <c r="A135" s="4">
        <f t="shared" si="14"/>
        <v>46813</v>
      </c>
      <c r="B135" s="5">
        <f t="shared" si="13"/>
        <v>746666.6666666735</v>
      </c>
      <c r="C135" s="6">
        <f t="shared" si="10"/>
        <v>15555.555555555555</v>
      </c>
      <c r="D135" s="5">
        <f t="shared" si="11"/>
        <v>6222.2222222222799</v>
      </c>
      <c r="E135" s="6">
        <f t="shared" si="12"/>
        <v>21777.777777777836</v>
      </c>
    </row>
    <row r="136" spans="1:5" ht="16.5" thickTop="1" thickBot="1" x14ac:dyDescent="0.3">
      <c r="A136" s="4">
        <f t="shared" si="14"/>
        <v>46844</v>
      </c>
      <c r="B136" s="5">
        <f t="shared" si="13"/>
        <v>731111.11111111799</v>
      </c>
      <c r="C136" s="6">
        <f t="shared" si="10"/>
        <v>15555.555555555555</v>
      </c>
      <c r="D136" s="5">
        <f t="shared" si="11"/>
        <v>6092.5925925926504</v>
      </c>
      <c r="E136" s="6">
        <f t="shared" si="12"/>
        <v>21648.148148148204</v>
      </c>
    </row>
    <row r="137" spans="1:5" ht="16.5" thickTop="1" thickBot="1" x14ac:dyDescent="0.3">
      <c r="A137" s="4">
        <f t="shared" si="14"/>
        <v>46874</v>
      </c>
      <c r="B137" s="5">
        <f t="shared" si="13"/>
        <v>715555.55555556249</v>
      </c>
      <c r="C137" s="6">
        <f t="shared" si="10"/>
        <v>15555.555555555555</v>
      </c>
      <c r="D137" s="5">
        <f t="shared" si="11"/>
        <v>5962.9629629630208</v>
      </c>
      <c r="E137" s="6">
        <f t="shared" si="12"/>
        <v>21518.518518518576</v>
      </c>
    </row>
    <row r="138" spans="1:5" ht="16.5" thickTop="1" thickBot="1" x14ac:dyDescent="0.3">
      <c r="A138" s="4">
        <f t="shared" si="14"/>
        <v>46905</v>
      </c>
      <c r="B138" s="5">
        <f t="shared" si="13"/>
        <v>700000.00000000698</v>
      </c>
      <c r="C138" s="6">
        <f t="shared" si="10"/>
        <v>15555.555555555555</v>
      </c>
      <c r="D138" s="5">
        <f t="shared" si="11"/>
        <v>5833.3333333333912</v>
      </c>
      <c r="E138" s="6">
        <f t="shared" si="12"/>
        <v>21388.888888888945</v>
      </c>
    </row>
    <row r="139" spans="1:5" ht="16.5" thickTop="1" thickBot="1" x14ac:dyDescent="0.3">
      <c r="A139" s="4">
        <f t="shared" si="14"/>
        <v>46935</v>
      </c>
      <c r="B139" s="5">
        <f t="shared" si="13"/>
        <v>684444.44444445148</v>
      </c>
      <c r="C139" s="6">
        <f t="shared" si="10"/>
        <v>15555.555555555555</v>
      </c>
      <c r="D139" s="5">
        <f t="shared" si="11"/>
        <v>5703.7037037037626</v>
      </c>
      <c r="E139" s="6">
        <f t="shared" si="12"/>
        <v>21259.259259259317</v>
      </c>
    </row>
    <row r="140" spans="1:5" ht="16.5" thickTop="1" thickBot="1" x14ac:dyDescent="0.3">
      <c r="A140" s="4">
        <f t="shared" si="14"/>
        <v>46966</v>
      </c>
      <c r="B140" s="5">
        <f t="shared" si="13"/>
        <v>668888.88888889598</v>
      </c>
      <c r="C140" s="6">
        <f t="shared" si="10"/>
        <v>15555.555555555555</v>
      </c>
      <c r="D140" s="5">
        <f t="shared" si="11"/>
        <v>5574.0740740741339</v>
      </c>
      <c r="E140" s="6">
        <f t="shared" si="12"/>
        <v>21129.62962962969</v>
      </c>
    </row>
    <row r="141" spans="1:5" ht="16.5" thickTop="1" thickBot="1" x14ac:dyDescent="0.3">
      <c r="A141" s="4">
        <f t="shared" si="14"/>
        <v>46997</v>
      </c>
      <c r="B141" s="5">
        <f t="shared" si="13"/>
        <v>653333.33333334047</v>
      </c>
      <c r="C141" s="6">
        <f t="shared" si="10"/>
        <v>15555.555555555555</v>
      </c>
      <c r="D141" s="5">
        <f t="shared" si="11"/>
        <v>5444.4444444445044</v>
      </c>
      <c r="E141" s="6">
        <f t="shared" si="12"/>
        <v>21000.000000000058</v>
      </c>
    </row>
    <row r="142" spans="1:5" ht="16.5" thickTop="1" thickBot="1" x14ac:dyDescent="0.3">
      <c r="A142" s="4">
        <f t="shared" si="14"/>
        <v>47027</v>
      </c>
      <c r="B142" s="5">
        <f t="shared" si="13"/>
        <v>637777.77777778497</v>
      </c>
      <c r="C142" s="6">
        <f t="shared" si="10"/>
        <v>15555.555555555555</v>
      </c>
      <c r="D142" s="5">
        <f t="shared" si="11"/>
        <v>5314.8148148148748</v>
      </c>
      <c r="E142" s="6">
        <f t="shared" si="12"/>
        <v>20870.37037037043</v>
      </c>
    </row>
    <row r="143" spans="1:5" ht="16.5" thickTop="1" thickBot="1" x14ac:dyDescent="0.3">
      <c r="A143" s="4">
        <f t="shared" si="14"/>
        <v>47058</v>
      </c>
      <c r="B143" s="5">
        <f t="shared" si="13"/>
        <v>622222.22222222947</v>
      </c>
      <c r="C143" s="6">
        <f t="shared" si="10"/>
        <v>15555.555555555555</v>
      </c>
      <c r="D143" s="5">
        <f t="shared" si="11"/>
        <v>5185.1851851852452</v>
      </c>
      <c r="E143" s="6">
        <f t="shared" si="12"/>
        <v>20740.740740740799</v>
      </c>
    </row>
    <row r="144" spans="1:5" ht="16.5" thickTop="1" thickBot="1" x14ac:dyDescent="0.3">
      <c r="A144" s="4">
        <f t="shared" si="14"/>
        <v>47088</v>
      </c>
      <c r="B144" s="5">
        <f t="shared" si="13"/>
        <v>606666.66666667396</v>
      </c>
      <c r="C144" s="6">
        <f t="shared" si="10"/>
        <v>15555.555555555555</v>
      </c>
      <c r="D144" s="5">
        <f t="shared" si="11"/>
        <v>5055.5555555556166</v>
      </c>
      <c r="E144" s="6">
        <f t="shared" si="12"/>
        <v>20611.111111111171</v>
      </c>
    </row>
    <row r="145" spans="1:5" ht="16.5" thickTop="1" thickBot="1" x14ac:dyDescent="0.3">
      <c r="A145" s="4">
        <f t="shared" si="14"/>
        <v>47119</v>
      </c>
      <c r="B145" s="5">
        <f t="shared" si="13"/>
        <v>591111.11111111846</v>
      </c>
      <c r="C145" s="6">
        <f t="shared" si="10"/>
        <v>15555.555555555555</v>
      </c>
      <c r="D145" s="5">
        <f t="shared" si="11"/>
        <v>4925.9259259259879</v>
      </c>
      <c r="E145" s="6">
        <f t="shared" si="12"/>
        <v>20481.481481481544</v>
      </c>
    </row>
    <row r="146" spans="1:5" ht="16.5" thickTop="1" thickBot="1" x14ac:dyDescent="0.3">
      <c r="A146" s="4">
        <f t="shared" si="14"/>
        <v>47150</v>
      </c>
      <c r="B146" s="5">
        <f t="shared" si="13"/>
        <v>575555.55555556295</v>
      </c>
      <c r="C146" s="6">
        <f t="shared" si="10"/>
        <v>15555.555555555555</v>
      </c>
      <c r="D146" s="5">
        <f t="shared" si="11"/>
        <v>4796.2962962963584</v>
      </c>
      <c r="E146" s="6">
        <f t="shared" si="12"/>
        <v>20351.851851851912</v>
      </c>
    </row>
    <row r="147" spans="1:5" ht="16.5" thickTop="1" thickBot="1" x14ac:dyDescent="0.3">
      <c r="A147" s="4">
        <f t="shared" si="14"/>
        <v>47178</v>
      </c>
      <c r="B147" s="5">
        <f t="shared" si="13"/>
        <v>560000.00000000745</v>
      </c>
      <c r="C147" s="6">
        <f t="shared" si="10"/>
        <v>15555.555555555555</v>
      </c>
      <c r="D147" s="5">
        <f t="shared" si="11"/>
        <v>4666.6666666667288</v>
      </c>
      <c r="E147" s="6">
        <f t="shared" si="12"/>
        <v>20222.222222222284</v>
      </c>
    </row>
    <row r="148" spans="1:5" ht="16.5" thickTop="1" thickBot="1" x14ac:dyDescent="0.3">
      <c r="A148" s="4">
        <f t="shared" si="14"/>
        <v>47209</v>
      </c>
      <c r="B148" s="5">
        <f t="shared" si="13"/>
        <v>544444.44444445195</v>
      </c>
      <c r="C148" s="6">
        <f t="shared" si="10"/>
        <v>15555.555555555555</v>
      </c>
      <c r="D148" s="5">
        <f t="shared" si="11"/>
        <v>4537.0370370370993</v>
      </c>
      <c r="E148" s="6">
        <f t="shared" si="12"/>
        <v>20092.592592592653</v>
      </c>
    </row>
    <row r="149" spans="1:5" ht="16.5" thickTop="1" thickBot="1" x14ac:dyDescent="0.3">
      <c r="A149" s="4">
        <f t="shared" si="14"/>
        <v>47239</v>
      </c>
      <c r="B149" s="5">
        <f t="shared" si="13"/>
        <v>528888.88888889644</v>
      </c>
      <c r="C149" s="6">
        <f t="shared" si="10"/>
        <v>15555.555555555555</v>
      </c>
      <c r="D149" s="5">
        <f t="shared" si="11"/>
        <v>4407.4074074074706</v>
      </c>
      <c r="E149" s="6">
        <f t="shared" si="12"/>
        <v>19962.962962963025</v>
      </c>
    </row>
    <row r="150" spans="1:5" ht="16.5" thickTop="1" thickBot="1" x14ac:dyDescent="0.3">
      <c r="A150" s="4">
        <f t="shared" si="14"/>
        <v>47270</v>
      </c>
      <c r="B150" s="5">
        <f t="shared" si="13"/>
        <v>513333.33333334088</v>
      </c>
      <c r="C150" s="6">
        <f t="shared" si="10"/>
        <v>15555.555555555555</v>
      </c>
      <c r="D150" s="5">
        <f t="shared" si="11"/>
        <v>4277.777777777841</v>
      </c>
      <c r="E150" s="6">
        <f t="shared" si="12"/>
        <v>19833.333333333394</v>
      </c>
    </row>
    <row r="151" spans="1:5" ht="16.5" thickTop="1" thickBot="1" x14ac:dyDescent="0.3">
      <c r="A151" s="4">
        <f t="shared" si="14"/>
        <v>47300</v>
      </c>
      <c r="B151" s="5">
        <f t="shared" si="13"/>
        <v>497777.77777778532</v>
      </c>
      <c r="C151" s="6">
        <f t="shared" si="10"/>
        <v>15555.555555555555</v>
      </c>
      <c r="D151" s="5">
        <f t="shared" si="11"/>
        <v>4148.1481481482115</v>
      </c>
      <c r="E151" s="6">
        <f t="shared" si="12"/>
        <v>19703.703703703766</v>
      </c>
    </row>
    <row r="152" spans="1:5" ht="16.5" thickTop="1" thickBot="1" x14ac:dyDescent="0.3">
      <c r="A152" s="4">
        <f t="shared" si="14"/>
        <v>47331</v>
      </c>
      <c r="B152" s="5">
        <f t="shared" si="13"/>
        <v>482222.22222222976</v>
      </c>
      <c r="C152" s="6">
        <f t="shared" si="10"/>
        <v>15555.555555555555</v>
      </c>
      <c r="D152" s="5">
        <f t="shared" si="11"/>
        <v>4018.5185185185815</v>
      </c>
      <c r="E152" s="6">
        <f t="shared" si="12"/>
        <v>19574.074074074135</v>
      </c>
    </row>
    <row r="153" spans="1:5" ht="16.5" thickTop="1" thickBot="1" x14ac:dyDescent="0.3">
      <c r="A153" s="4">
        <f t="shared" si="14"/>
        <v>47362</v>
      </c>
      <c r="B153" s="5">
        <f t="shared" si="13"/>
        <v>466666.66666667419</v>
      </c>
      <c r="C153" s="6">
        <f t="shared" si="10"/>
        <v>15555.555555555555</v>
      </c>
      <c r="D153" s="5">
        <f t="shared" si="11"/>
        <v>3888.8888888889519</v>
      </c>
      <c r="E153" s="6">
        <f t="shared" si="12"/>
        <v>19444.444444444507</v>
      </c>
    </row>
    <row r="154" spans="1:5" ht="16.5" thickTop="1" thickBot="1" x14ac:dyDescent="0.3">
      <c r="A154" s="4">
        <f t="shared" si="14"/>
        <v>47392</v>
      </c>
      <c r="B154" s="5">
        <f t="shared" si="13"/>
        <v>451111.11111111863</v>
      </c>
      <c r="C154" s="6">
        <f t="shared" si="10"/>
        <v>15555.555555555555</v>
      </c>
      <c r="D154" s="5">
        <f t="shared" si="11"/>
        <v>3759.2592592593223</v>
      </c>
      <c r="E154" s="6">
        <f t="shared" si="12"/>
        <v>19314.814814814876</v>
      </c>
    </row>
    <row r="155" spans="1:5" ht="16.5" thickTop="1" thickBot="1" x14ac:dyDescent="0.3">
      <c r="A155" s="4">
        <f t="shared" si="14"/>
        <v>47423</v>
      </c>
      <c r="B155" s="5">
        <f t="shared" si="13"/>
        <v>435555.55555556307</v>
      </c>
      <c r="C155" s="6">
        <f t="shared" si="10"/>
        <v>15555.555555555555</v>
      </c>
      <c r="D155" s="5">
        <f t="shared" si="11"/>
        <v>3629.6296296296928</v>
      </c>
      <c r="E155" s="6">
        <f t="shared" si="12"/>
        <v>19185.185185185248</v>
      </c>
    </row>
    <row r="156" spans="1:5" ht="16.5" thickTop="1" thickBot="1" x14ac:dyDescent="0.3">
      <c r="A156" s="4">
        <f t="shared" si="14"/>
        <v>47453</v>
      </c>
      <c r="B156" s="5">
        <f t="shared" si="13"/>
        <v>420000.00000000751</v>
      </c>
      <c r="C156" s="6">
        <f t="shared" si="10"/>
        <v>15555.555555555555</v>
      </c>
      <c r="D156" s="5">
        <f t="shared" si="11"/>
        <v>3500.0000000000632</v>
      </c>
      <c r="E156" s="6">
        <f t="shared" si="12"/>
        <v>19055.555555555617</v>
      </c>
    </row>
    <row r="157" spans="1:5" ht="16.5" thickTop="1" thickBot="1" x14ac:dyDescent="0.3">
      <c r="A157" s="4">
        <f t="shared" si="14"/>
        <v>47484</v>
      </c>
      <c r="B157" s="5">
        <f t="shared" si="13"/>
        <v>404444.44444445195</v>
      </c>
      <c r="C157" s="6">
        <f t="shared" si="10"/>
        <v>15555.555555555555</v>
      </c>
      <c r="D157" s="5">
        <f t="shared" si="11"/>
        <v>3370.3703703704327</v>
      </c>
      <c r="E157" s="6">
        <f t="shared" si="12"/>
        <v>18925.925925925989</v>
      </c>
    </row>
    <row r="158" spans="1:5" ht="16.5" thickTop="1" thickBot="1" x14ac:dyDescent="0.3">
      <c r="A158" s="4">
        <f t="shared" si="14"/>
        <v>47515</v>
      </c>
      <c r="B158" s="5">
        <f t="shared" si="13"/>
        <v>388888.88888889638</v>
      </c>
      <c r="C158" s="6">
        <f t="shared" si="10"/>
        <v>15555.555555555555</v>
      </c>
      <c r="D158" s="5">
        <f t="shared" si="11"/>
        <v>3240.7407407408032</v>
      </c>
      <c r="E158" s="6">
        <f t="shared" si="12"/>
        <v>18796.296296296357</v>
      </c>
    </row>
    <row r="159" spans="1:5" ht="16.5" thickTop="1" thickBot="1" x14ac:dyDescent="0.3">
      <c r="A159" s="4">
        <f t="shared" si="14"/>
        <v>47543</v>
      </c>
      <c r="B159" s="5">
        <f t="shared" si="13"/>
        <v>373333.33333334082</v>
      </c>
      <c r="C159" s="6">
        <f t="shared" si="10"/>
        <v>15555.555555555555</v>
      </c>
      <c r="D159" s="5">
        <f t="shared" si="11"/>
        <v>3111.1111111111736</v>
      </c>
      <c r="E159" s="6">
        <f t="shared" si="12"/>
        <v>18666.66666666673</v>
      </c>
    </row>
    <row r="160" spans="1:5" ht="16.5" thickTop="1" thickBot="1" x14ac:dyDescent="0.3">
      <c r="A160" s="4">
        <f t="shared" si="14"/>
        <v>47574</v>
      </c>
      <c r="B160" s="5">
        <f t="shared" si="13"/>
        <v>357777.77777778526</v>
      </c>
      <c r="C160" s="6">
        <f t="shared" si="10"/>
        <v>15555.555555555555</v>
      </c>
      <c r="D160" s="5">
        <f t="shared" si="11"/>
        <v>2981.4814814815441</v>
      </c>
      <c r="E160" s="6">
        <f t="shared" si="12"/>
        <v>18537.037037037098</v>
      </c>
    </row>
    <row r="161" spans="1:5" ht="16.5" thickTop="1" thickBot="1" x14ac:dyDescent="0.3">
      <c r="A161" s="4">
        <f t="shared" si="14"/>
        <v>47604</v>
      </c>
      <c r="B161" s="5">
        <f t="shared" si="13"/>
        <v>342222.2222222297</v>
      </c>
      <c r="C161" s="6">
        <f t="shared" si="10"/>
        <v>15555.555555555555</v>
      </c>
      <c r="D161" s="5">
        <f t="shared" si="11"/>
        <v>2851.851851851914</v>
      </c>
      <c r="E161" s="6">
        <f t="shared" si="12"/>
        <v>18407.407407407467</v>
      </c>
    </row>
    <row r="162" spans="1:5" ht="16.5" thickTop="1" thickBot="1" x14ac:dyDescent="0.3">
      <c r="A162" s="4">
        <f t="shared" si="14"/>
        <v>47635</v>
      </c>
      <c r="B162" s="5">
        <f t="shared" si="13"/>
        <v>326666.66666667414</v>
      </c>
      <c r="C162" s="6">
        <f t="shared" si="10"/>
        <v>15555.555555555555</v>
      </c>
      <c r="D162" s="5">
        <f t="shared" si="11"/>
        <v>2722.2222222222845</v>
      </c>
      <c r="E162" s="6">
        <f t="shared" si="12"/>
        <v>18277.777777777839</v>
      </c>
    </row>
    <row r="163" spans="1:5" ht="16.5" thickTop="1" thickBot="1" x14ac:dyDescent="0.3">
      <c r="A163" s="4">
        <f t="shared" si="14"/>
        <v>47665</v>
      </c>
      <c r="B163" s="5">
        <f t="shared" si="13"/>
        <v>311111.11111111857</v>
      </c>
      <c r="C163" s="6">
        <f t="shared" si="10"/>
        <v>15555.555555555555</v>
      </c>
      <c r="D163" s="5">
        <f t="shared" si="11"/>
        <v>2592.5925925926549</v>
      </c>
      <c r="E163" s="6">
        <f t="shared" si="12"/>
        <v>18148.148148148211</v>
      </c>
    </row>
    <row r="164" spans="1:5" ht="16.5" thickTop="1" thickBot="1" x14ac:dyDescent="0.3">
      <c r="A164" s="4">
        <f t="shared" si="14"/>
        <v>47696</v>
      </c>
      <c r="B164" s="5">
        <f t="shared" si="13"/>
        <v>295555.55555556301</v>
      </c>
      <c r="C164" s="6">
        <f t="shared" si="10"/>
        <v>15555.555555555555</v>
      </c>
      <c r="D164" s="5">
        <f t="shared" si="11"/>
        <v>2462.9629629630253</v>
      </c>
      <c r="E164" s="6">
        <f t="shared" si="12"/>
        <v>18018.51851851858</v>
      </c>
    </row>
    <row r="165" spans="1:5" ht="16.5" thickTop="1" thickBot="1" x14ac:dyDescent="0.3">
      <c r="A165" s="4">
        <f t="shared" si="14"/>
        <v>47727</v>
      </c>
      <c r="B165" s="5">
        <f t="shared" si="13"/>
        <v>280000.00000000745</v>
      </c>
      <c r="C165" s="6">
        <f t="shared" si="10"/>
        <v>15555.555555555555</v>
      </c>
      <c r="D165" s="5">
        <f t="shared" si="11"/>
        <v>2333.3333333333953</v>
      </c>
      <c r="E165" s="6">
        <f t="shared" si="12"/>
        <v>17888.888888888949</v>
      </c>
    </row>
    <row r="166" spans="1:5" ht="16.5" thickTop="1" thickBot="1" x14ac:dyDescent="0.3">
      <c r="A166" s="4">
        <f t="shared" si="14"/>
        <v>47757</v>
      </c>
      <c r="B166" s="5">
        <f t="shared" si="13"/>
        <v>264444.44444445189</v>
      </c>
      <c r="C166" s="6">
        <f t="shared" si="10"/>
        <v>15555.555555555555</v>
      </c>
      <c r="D166" s="5">
        <f t="shared" si="11"/>
        <v>2203.7037037037658</v>
      </c>
      <c r="E166" s="6">
        <f t="shared" si="12"/>
        <v>17759.259259259321</v>
      </c>
    </row>
    <row r="167" spans="1:5" ht="16.5" thickTop="1" thickBot="1" x14ac:dyDescent="0.3">
      <c r="A167" s="4">
        <f t="shared" si="14"/>
        <v>47788</v>
      </c>
      <c r="B167" s="5">
        <f t="shared" si="13"/>
        <v>248888.88888889633</v>
      </c>
      <c r="C167" s="6">
        <f t="shared" si="10"/>
        <v>15555.555555555555</v>
      </c>
      <c r="D167" s="5">
        <f t="shared" si="11"/>
        <v>2074.0740740741362</v>
      </c>
      <c r="E167" s="6">
        <f t="shared" si="12"/>
        <v>17629.62962962969</v>
      </c>
    </row>
    <row r="168" spans="1:5" ht="16.5" thickTop="1" thickBot="1" x14ac:dyDescent="0.3">
      <c r="A168" s="4">
        <f t="shared" si="14"/>
        <v>47818</v>
      </c>
      <c r="B168" s="5">
        <f t="shared" si="13"/>
        <v>233333.33333334076</v>
      </c>
      <c r="C168" s="6">
        <f t="shared" si="10"/>
        <v>15555.555555555555</v>
      </c>
      <c r="D168" s="5">
        <f t="shared" si="11"/>
        <v>1944.4444444445064</v>
      </c>
      <c r="E168" s="6">
        <f t="shared" si="12"/>
        <v>17500.000000000062</v>
      </c>
    </row>
    <row r="169" spans="1:5" ht="16.5" thickTop="1" thickBot="1" x14ac:dyDescent="0.3">
      <c r="A169" s="4">
        <f t="shared" si="14"/>
        <v>47849</v>
      </c>
      <c r="B169" s="5">
        <f t="shared" si="13"/>
        <v>217777.7777777852</v>
      </c>
      <c r="C169" s="6">
        <f t="shared" si="10"/>
        <v>15555.555555555555</v>
      </c>
      <c r="D169" s="5">
        <f t="shared" si="11"/>
        <v>1814.8148148148769</v>
      </c>
      <c r="E169" s="6">
        <f t="shared" si="12"/>
        <v>17370.37037037043</v>
      </c>
    </row>
    <row r="170" spans="1:5" ht="16.5" thickTop="1" thickBot="1" x14ac:dyDescent="0.3">
      <c r="A170" s="4">
        <f t="shared" si="14"/>
        <v>47880</v>
      </c>
      <c r="B170" s="5">
        <f t="shared" si="13"/>
        <v>202222.22222222964</v>
      </c>
      <c r="C170" s="6">
        <f t="shared" si="10"/>
        <v>15555.555555555555</v>
      </c>
      <c r="D170" s="5">
        <f t="shared" si="11"/>
        <v>1685.1851851852471</v>
      </c>
      <c r="E170" s="6">
        <f t="shared" si="12"/>
        <v>17240.740740740803</v>
      </c>
    </row>
    <row r="171" spans="1:5" ht="16.5" thickTop="1" thickBot="1" x14ac:dyDescent="0.3">
      <c r="A171" s="4">
        <f t="shared" si="14"/>
        <v>47908</v>
      </c>
      <c r="B171" s="5">
        <f t="shared" si="13"/>
        <v>186666.66666667408</v>
      </c>
      <c r="C171" s="6">
        <f t="shared" si="10"/>
        <v>15555.555555555555</v>
      </c>
      <c r="D171" s="5">
        <f t="shared" si="11"/>
        <v>1555.5555555556175</v>
      </c>
      <c r="E171" s="6">
        <f t="shared" si="12"/>
        <v>17111.111111111171</v>
      </c>
    </row>
    <row r="172" spans="1:5" ht="16.5" thickTop="1" thickBot="1" x14ac:dyDescent="0.3">
      <c r="A172" s="4">
        <f t="shared" si="14"/>
        <v>47939</v>
      </c>
      <c r="B172" s="5">
        <f t="shared" si="13"/>
        <v>171111.11111111852</v>
      </c>
      <c r="C172" s="6">
        <f t="shared" si="10"/>
        <v>15555.555555555555</v>
      </c>
      <c r="D172" s="5">
        <f t="shared" si="11"/>
        <v>1425.9259259259877</v>
      </c>
      <c r="E172" s="6">
        <f t="shared" si="12"/>
        <v>16981.481481481544</v>
      </c>
    </row>
    <row r="173" spans="1:5" ht="16.5" thickTop="1" thickBot="1" x14ac:dyDescent="0.3">
      <c r="A173" s="4">
        <f t="shared" si="14"/>
        <v>47969</v>
      </c>
      <c r="B173" s="5">
        <f t="shared" si="13"/>
        <v>155555.55555556295</v>
      </c>
      <c r="C173" s="6">
        <f t="shared" si="10"/>
        <v>15555.555555555555</v>
      </c>
      <c r="D173" s="5">
        <f t="shared" si="11"/>
        <v>1296.2962962963582</v>
      </c>
      <c r="E173" s="6">
        <f t="shared" si="12"/>
        <v>16851.851851851912</v>
      </c>
    </row>
    <row r="174" spans="1:5" ht="16.5" thickTop="1" thickBot="1" x14ac:dyDescent="0.3">
      <c r="A174" s="4">
        <f t="shared" si="14"/>
        <v>48000</v>
      </c>
      <c r="B174" s="5">
        <f t="shared" si="13"/>
        <v>140000.00000000739</v>
      </c>
      <c r="C174" s="6">
        <f t="shared" si="10"/>
        <v>15555.555555555555</v>
      </c>
      <c r="D174" s="5">
        <f t="shared" si="11"/>
        <v>1166.6666666667284</v>
      </c>
      <c r="E174" s="6">
        <f t="shared" si="12"/>
        <v>16722.222222222284</v>
      </c>
    </row>
    <row r="175" spans="1:5" ht="16.5" thickTop="1" thickBot="1" x14ac:dyDescent="0.3">
      <c r="A175" s="4">
        <f t="shared" si="14"/>
        <v>48030</v>
      </c>
      <c r="B175" s="5">
        <f t="shared" si="13"/>
        <v>124444.44444445183</v>
      </c>
      <c r="C175" s="6">
        <f t="shared" si="10"/>
        <v>15555.555555555555</v>
      </c>
      <c r="D175" s="5">
        <f t="shared" si="11"/>
        <v>1037.0370370370986</v>
      </c>
      <c r="E175" s="6">
        <f t="shared" si="12"/>
        <v>16592.592592592653</v>
      </c>
    </row>
    <row r="176" spans="1:5" ht="16.5" thickTop="1" thickBot="1" x14ac:dyDescent="0.3">
      <c r="A176" s="4">
        <f t="shared" si="14"/>
        <v>48061</v>
      </c>
      <c r="B176" s="5">
        <f t="shared" si="13"/>
        <v>108888.88888889627</v>
      </c>
      <c r="C176" s="6">
        <f t="shared" si="10"/>
        <v>15555.555555555555</v>
      </c>
      <c r="D176" s="5">
        <f t="shared" si="11"/>
        <v>907.4074074074689</v>
      </c>
      <c r="E176" s="6">
        <f t="shared" si="12"/>
        <v>16462.962962963025</v>
      </c>
    </row>
    <row r="177" spans="1:5" ht="16.5" thickTop="1" thickBot="1" x14ac:dyDescent="0.3">
      <c r="A177" s="4">
        <f t="shared" si="14"/>
        <v>48092</v>
      </c>
      <c r="B177" s="5">
        <f t="shared" si="13"/>
        <v>93333.333333340706</v>
      </c>
      <c r="C177" s="6">
        <f t="shared" si="10"/>
        <v>15555.555555555555</v>
      </c>
      <c r="D177" s="5">
        <f t="shared" si="11"/>
        <v>777.77777777783922</v>
      </c>
      <c r="E177" s="6">
        <f t="shared" si="12"/>
        <v>16333.333333333394</v>
      </c>
    </row>
    <row r="178" spans="1:5" ht="16.5" thickTop="1" thickBot="1" x14ac:dyDescent="0.3">
      <c r="A178" s="4">
        <f t="shared" si="14"/>
        <v>48122</v>
      </c>
      <c r="B178" s="5">
        <f t="shared" si="13"/>
        <v>77777.777777785144</v>
      </c>
      <c r="C178" s="6">
        <f t="shared" si="10"/>
        <v>15555.555555555555</v>
      </c>
      <c r="D178" s="5">
        <f t="shared" si="11"/>
        <v>648.14814814820954</v>
      </c>
      <c r="E178" s="6">
        <f t="shared" si="12"/>
        <v>16203.703703703764</v>
      </c>
    </row>
    <row r="179" spans="1:5" ht="16.5" thickTop="1" thickBot="1" x14ac:dyDescent="0.3">
      <c r="A179" s="4">
        <f t="shared" si="14"/>
        <v>48153</v>
      </c>
      <c r="B179" s="5">
        <f t="shared" si="13"/>
        <v>62222.22222222959</v>
      </c>
      <c r="C179" s="6">
        <f t="shared" si="10"/>
        <v>15555.555555555555</v>
      </c>
      <c r="D179" s="5">
        <f t="shared" si="11"/>
        <v>518.51851851857998</v>
      </c>
      <c r="E179" s="6">
        <f t="shared" si="12"/>
        <v>16074.074074074135</v>
      </c>
    </row>
    <row r="180" spans="1:5" ht="16.5" thickTop="1" thickBot="1" x14ac:dyDescent="0.3">
      <c r="A180" s="4">
        <f t="shared" si="14"/>
        <v>48183</v>
      </c>
      <c r="B180" s="5">
        <f t="shared" si="13"/>
        <v>46666.666666674035</v>
      </c>
      <c r="C180" s="6">
        <f t="shared" si="10"/>
        <v>15555.555555555555</v>
      </c>
      <c r="D180" s="5">
        <f t="shared" si="11"/>
        <v>388.88888888895031</v>
      </c>
      <c r="E180" s="6">
        <f t="shared" si="12"/>
        <v>15944.444444444505</v>
      </c>
    </row>
    <row r="181" spans="1:5" ht="16.5" thickTop="1" thickBot="1" x14ac:dyDescent="0.3">
      <c r="A181" s="4">
        <f t="shared" si="14"/>
        <v>48214</v>
      </c>
      <c r="B181" s="5">
        <f t="shared" si="13"/>
        <v>31111.11111111848</v>
      </c>
      <c r="C181" s="6">
        <f t="shared" si="10"/>
        <v>15555.555555555555</v>
      </c>
      <c r="D181" s="5">
        <f t="shared" si="11"/>
        <v>259.25925925932069</v>
      </c>
      <c r="E181" s="6">
        <f t="shared" si="12"/>
        <v>15814.814814814876</v>
      </c>
    </row>
    <row r="182" spans="1:5" ht="16.5" thickTop="1" thickBot="1" x14ac:dyDescent="0.3">
      <c r="A182" s="4">
        <f t="shared" si="14"/>
        <v>48245</v>
      </c>
      <c r="B182" s="5">
        <f t="shared" si="13"/>
        <v>15555.555555562925</v>
      </c>
      <c r="C182" s="6">
        <f t="shared" si="10"/>
        <v>15555.555555555555</v>
      </c>
      <c r="D182" s="5">
        <f t="shared" si="11"/>
        <v>129.62962962969104</v>
      </c>
      <c r="E182" s="6">
        <f t="shared" si="12"/>
        <v>15685.185185185246</v>
      </c>
    </row>
    <row r="183" spans="1:5" ht="16.5" thickTop="1" thickBot="1" x14ac:dyDescent="0.3">
      <c r="A183" s="4">
        <f t="shared" si="14"/>
        <v>48274</v>
      </c>
      <c r="B183" s="5">
        <f t="shared" si="13"/>
        <v>7.3705450631678104E-9</v>
      </c>
      <c r="C183" s="6">
        <f t="shared" si="10"/>
        <v>15555.555555555555</v>
      </c>
      <c r="D183" s="5">
        <f t="shared" si="11"/>
        <v>6.1421208859731765E-11</v>
      </c>
      <c r="E183" s="6">
        <f t="shared" si="12"/>
        <v>15555.555555555617</v>
      </c>
    </row>
    <row r="184" spans="1:5" ht="15.75" thickTop="1" x14ac:dyDescent="0.25">
      <c r="E184" s="2"/>
    </row>
    <row r="185" spans="1:5" x14ac:dyDescent="0.25">
      <c r="E185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Аннуитентные платежи</vt:lpstr>
      <vt:lpstr>Дифференцированные платежи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2018-12-19T08:28:23Z</dcterms:modified>
</cp:coreProperties>
</file>