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korolev/Documents/university/3th course/ОУПП/"/>
    </mc:Choice>
  </mc:AlternateContent>
  <xr:revisionPtr revIDLastSave="0" documentId="13_ncr:1_{9DD55944-A5F3-F146-92D7-FD715BB2BD6E}" xr6:coauthVersionLast="47" xr6:coauthVersionMax="47" xr10:uidLastSave="{00000000-0000-0000-0000-000000000000}"/>
  <bookViews>
    <workbookView xWindow="0" yWindow="660" windowWidth="29400" windowHeight="16800" xr2:uid="{EBD08F40-0FF6-084A-8264-FD04DA51DF3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36" i="1"/>
  <c r="E35" i="1"/>
  <c r="E32" i="1"/>
  <c r="E31" i="1"/>
  <c r="E30" i="1"/>
  <c r="E33" i="1"/>
  <c r="E34" i="1"/>
  <c r="E36" i="1"/>
  <c r="E37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2" i="1"/>
  <c r="E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F30" i="1" l="1"/>
  <c r="F24" i="1"/>
  <c r="F11" i="1"/>
  <c r="F6" i="1"/>
</calcChain>
</file>

<file path=xl/sharedStrings.xml><?xml version="1.0" encoding="utf-8"?>
<sst xmlns="http://schemas.openxmlformats.org/spreadsheetml/2006/main" count="41" uniqueCount="41">
  <si>
    <t>Наименование работ</t>
  </si>
  <si>
    <t>Начало работ</t>
  </si>
  <si>
    <t>Окончание работ</t>
  </si>
  <si>
    <t>Продолжительность работ, дни</t>
  </si>
  <si>
    <t>Номер задачи</t>
  </si>
  <si>
    <t>Определение цели проекта</t>
  </si>
  <si>
    <t>Анализ целевой аудитории</t>
  </si>
  <si>
    <t>Анализ конкурентов</t>
  </si>
  <si>
    <t>Оценка рисков</t>
  </si>
  <si>
    <t>Формирование команды</t>
  </si>
  <si>
    <t>Планирование ресурсов и бюджета</t>
  </si>
  <si>
    <t>Функциональные требования</t>
  </si>
  <si>
    <t>Нефункциональные требования</t>
  </si>
  <si>
    <t>Требования к LLM/API</t>
  </si>
  <si>
    <t xml:space="preserve">Требования к безопасности </t>
  </si>
  <si>
    <t>Согласование и утверждение</t>
  </si>
  <si>
    <t>UX/UI дизайн</t>
  </si>
  <si>
    <t>HLD — высокоуровневая архитектура</t>
  </si>
  <si>
    <t>LLD — низкоуровневая архитектура</t>
  </si>
  <si>
    <t>Проектирование БД</t>
  </si>
  <si>
    <t>Схема интеграций API</t>
  </si>
  <si>
    <t>MVP: ввод запроса + LLM-генерация</t>
  </si>
  <si>
    <t>Отображение roadmap</t>
  </si>
  <si>
    <t>Профиль и история пользователя</t>
  </si>
  <si>
    <t xml:space="preserve">Интеграции </t>
  </si>
  <si>
    <t>Экспорт PDF</t>
  </si>
  <si>
    <t>Трекинг и уведомления</t>
  </si>
  <si>
    <t xml:space="preserve">Контроль версий </t>
  </si>
  <si>
    <t>Code review</t>
  </si>
  <si>
    <t>Системное тестирование</t>
  </si>
  <si>
    <t>Ручное тестирование</t>
  </si>
  <si>
    <t>Автоматизированное тестирование</t>
  </si>
  <si>
    <t>Нагрузочное тестирование</t>
  </si>
  <si>
    <t>Тестирование интеграций</t>
  </si>
  <si>
    <t>Регрессионное тестирование</t>
  </si>
  <si>
    <t xml:space="preserve">Развёртывание на серверах </t>
  </si>
  <si>
    <t>Публикация в сторах</t>
  </si>
  <si>
    <t>Релизное планирование</t>
  </si>
  <si>
    <t>Автоматизация деплоя (CI/CD)</t>
  </si>
  <si>
    <t>Обновление ресурсов roadmap</t>
  </si>
  <si>
    <t>Техническая поддержка и исправление багов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</si>
</sst>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549202818774694"/>
          <c:y val="0.12582571236891352"/>
          <c:w val="0.75889406123737724"/>
          <c:h val="0.849510610501041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Начало работ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Лист1!$B$2:$B$37</c:f>
              <c:strCache>
                <c:ptCount val="36"/>
                <c:pt idx="0">
                  <c:v>Определение цели проекта</c:v>
                </c:pt>
                <c:pt idx="1">
                  <c:v>Анализ целевой аудитории</c:v>
                </c:pt>
                <c:pt idx="2">
                  <c:v>Анализ конкурентов</c:v>
                </c:pt>
                <c:pt idx="3">
                  <c:v>Оценка рисков</c:v>
                </c:pt>
                <c:pt idx="4">
                  <c:v>Формирование команды</c:v>
                </c:pt>
                <c:pt idx="5">
                  <c:v>Планирование ресурсов и бюджета</c:v>
                </c:pt>
                <c:pt idx="6">
                  <c:v>Функциональные требования</c:v>
                </c:pt>
                <c:pt idx="7">
                  <c:v>Нефункциональные требования</c:v>
                </c:pt>
                <c:pt idx="8">
                  <c:v>Требования к LLM/API</c:v>
                </c:pt>
                <c:pt idx="9">
                  <c:v>Требования к безопасности </c:v>
                </c:pt>
                <c:pt idx="10">
                  <c:v>Согласование и утверждение</c:v>
                </c:pt>
                <c:pt idx="11">
                  <c:v>UX/UI дизайн</c:v>
                </c:pt>
                <c:pt idx="12">
                  <c:v>HLD — высокоуровневая архитектура</c:v>
                </c:pt>
                <c:pt idx="13">
                  <c:v>LLD — низкоуровневая архитектура</c:v>
                </c:pt>
                <c:pt idx="14">
                  <c:v>Проектирование БД</c:v>
                </c:pt>
                <c:pt idx="15">
                  <c:v>Схема интеграций API</c:v>
                </c:pt>
                <c:pt idx="16">
                  <c:v>MVP: ввод запроса + LLM-генерация</c:v>
                </c:pt>
                <c:pt idx="17">
                  <c:v>Отображение roadmap</c:v>
                </c:pt>
                <c:pt idx="18">
                  <c:v>Профиль и история пользователя</c:v>
                </c:pt>
                <c:pt idx="19">
                  <c:v>Интеграции </c:v>
                </c:pt>
                <c:pt idx="20">
                  <c:v>Экспорт PDF</c:v>
                </c:pt>
                <c:pt idx="21">
                  <c:v>Трекинг и уведомления</c:v>
                </c:pt>
                <c:pt idx="22">
                  <c:v>Контроль версий </c:v>
                </c:pt>
                <c:pt idx="23">
                  <c:v>Code review</c:v>
                </c:pt>
                <c:pt idx="24">
                  <c:v>Системное тестирование</c:v>
                </c:pt>
                <c:pt idx="25">
                  <c:v>Ручное тестирование</c:v>
                </c:pt>
                <c:pt idx="26">
                  <c:v>Автоматизированное тестирование</c:v>
                </c:pt>
                <c:pt idx="27">
                  <c:v>Нагрузочное тестирование</c:v>
                </c:pt>
                <c:pt idx="28">
                  <c:v>Тестирование интеграций</c:v>
                </c:pt>
                <c:pt idx="29">
                  <c:v>Регрессионное тестирование</c:v>
                </c:pt>
                <c:pt idx="30">
                  <c:v>Развёртывание на серверах </c:v>
                </c:pt>
                <c:pt idx="31">
                  <c:v>Публикация в сторах</c:v>
                </c:pt>
                <c:pt idx="32">
                  <c:v>Релизное планирование</c:v>
                </c:pt>
                <c:pt idx="33">
                  <c:v>Автоматизация деплоя (CI/CD)</c:v>
                </c:pt>
                <c:pt idx="34">
                  <c:v>Обновление ресурсов roadmap</c:v>
                </c:pt>
                <c:pt idx="35">
                  <c:v>Техническая поддержка и исправление багов</c:v>
                </c:pt>
              </c:strCache>
            </c:strRef>
          </c:cat>
          <c:val>
            <c:numRef>
              <c:f>Лист1!$C$2:$C$37</c:f>
              <c:numCache>
                <c:formatCode>m/d/yy</c:formatCode>
                <c:ptCount val="36"/>
                <c:pt idx="0">
                  <c:v>46204</c:v>
                </c:pt>
                <c:pt idx="1">
                  <c:v>46205</c:v>
                </c:pt>
                <c:pt idx="2">
                  <c:v>46208</c:v>
                </c:pt>
                <c:pt idx="3">
                  <c:v>46212</c:v>
                </c:pt>
                <c:pt idx="4">
                  <c:v>46217</c:v>
                </c:pt>
                <c:pt idx="5">
                  <c:v>46220</c:v>
                </c:pt>
                <c:pt idx="6">
                  <c:v>46224</c:v>
                </c:pt>
                <c:pt idx="7">
                  <c:v>46229</c:v>
                </c:pt>
                <c:pt idx="8">
                  <c:v>46235</c:v>
                </c:pt>
                <c:pt idx="9">
                  <c:v>46239</c:v>
                </c:pt>
                <c:pt idx="10">
                  <c:v>46243</c:v>
                </c:pt>
                <c:pt idx="11">
                  <c:v>46247</c:v>
                </c:pt>
                <c:pt idx="12">
                  <c:v>46254</c:v>
                </c:pt>
                <c:pt idx="13">
                  <c:v>46260</c:v>
                </c:pt>
                <c:pt idx="14">
                  <c:v>46267</c:v>
                </c:pt>
                <c:pt idx="15">
                  <c:v>46274</c:v>
                </c:pt>
                <c:pt idx="16">
                  <c:v>46280</c:v>
                </c:pt>
                <c:pt idx="17">
                  <c:v>46357</c:v>
                </c:pt>
                <c:pt idx="18">
                  <c:v>46367</c:v>
                </c:pt>
                <c:pt idx="19">
                  <c:v>46375</c:v>
                </c:pt>
                <c:pt idx="20">
                  <c:v>46388</c:v>
                </c:pt>
                <c:pt idx="21">
                  <c:v>46394</c:v>
                </c:pt>
                <c:pt idx="22">
                  <c:v>46399</c:v>
                </c:pt>
                <c:pt idx="23">
                  <c:v>46406</c:v>
                </c:pt>
                <c:pt idx="24">
                  <c:v>46357</c:v>
                </c:pt>
                <c:pt idx="25">
                  <c:v>46364</c:v>
                </c:pt>
                <c:pt idx="26">
                  <c:v>46371</c:v>
                </c:pt>
                <c:pt idx="27">
                  <c:v>46378</c:v>
                </c:pt>
                <c:pt idx="28">
                  <c:v>46388</c:v>
                </c:pt>
                <c:pt idx="29">
                  <c:v>46396</c:v>
                </c:pt>
                <c:pt idx="30">
                  <c:v>46419</c:v>
                </c:pt>
                <c:pt idx="31">
                  <c:v>46424</c:v>
                </c:pt>
                <c:pt idx="32">
                  <c:v>46430</c:v>
                </c:pt>
                <c:pt idx="33">
                  <c:v>46433</c:v>
                </c:pt>
                <c:pt idx="34">
                  <c:v>46442</c:v>
                </c:pt>
                <c:pt idx="35">
                  <c:v>46447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3-EB4D-9448-B5CE1FF49D5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Лист1!$B$2:$B$37</c:f>
              <c:strCache>
                <c:ptCount val="36"/>
                <c:pt idx="0">
                  <c:v>Определение цели проекта</c:v>
                </c:pt>
                <c:pt idx="1">
                  <c:v>Анализ целевой аудитории</c:v>
                </c:pt>
                <c:pt idx="2">
                  <c:v>Анализ конкурентов</c:v>
                </c:pt>
                <c:pt idx="3">
                  <c:v>Оценка рисков</c:v>
                </c:pt>
                <c:pt idx="4">
                  <c:v>Формирование команды</c:v>
                </c:pt>
                <c:pt idx="5">
                  <c:v>Планирование ресурсов и бюджета</c:v>
                </c:pt>
                <c:pt idx="6">
                  <c:v>Функциональные требования</c:v>
                </c:pt>
                <c:pt idx="7">
                  <c:v>Нефункциональные требования</c:v>
                </c:pt>
                <c:pt idx="8">
                  <c:v>Требования к LLM/API</c:v>
                </c:pt>
                <c:pt idx="9">
                  <c:v>Требования к безопасности </c:v>
                </c:pt>
                <c:pt idx="10">
                  <c:v>Согласование и утверждение</c:v>
                </c:pt>
                <c:pt idx="11">
                  <c:v>UX/UI дизайн</c:v>
                </c:pt>
                <c:pt idx="12">
                  <c:v>HLD — высокоуровневая архитектура</c:v>
                </c:pt>
                <c:pt idx="13">
                  <c:v>LLD — низкоуровневая архитектура</c:v>
                </c:pt>
                <c:pt idx="14">
                  <c:v>Проектирование БД</c:v>
                </c:pt>
                <c:pt idx="15">
                  <c:v>Схема интеграций API</c:v>
                </c:pt>
                <c:pt idx="16">
                  <c:v>MVP: ввод запроса + LLM-генерация</c:v>
                </c:pt>
                <c:pt idx="17">
                  <c:v>Отображение roadmap</c:v>
                </c:pt>
                <c:pt idx="18">
                  <c:v>Профиль и история пользователя</c:v>
                </c:pt>
                <c:pt idx="19">
                  <c:v>Интеграции </c:v>
                </c:pt>
                <c:pt idx="20">
                  <c:v>Экспорт PDF</c:v>
                </c:pt>
                <c:pt idx="21">
                  <c:v>Трекинг и уведомления</c:v>
                </c:pt>
                <c:pt idx="22">
                  <c:v>Контроль версий </c:v>
                </c:pt>
                <c:pt idx="23">
                  <c:v>Code review</c:v>
                </c:pt>
                <c:pt idx="24">
                  <c:v>Системное тестирование</c:v>
                </c:pt>
                <c:pt idx="25">
                  <c:v>Ручное тестирование</c:v>
                </c:pt>
                <c:pt idx="26">
                  <c:v>Автоматизированное тестирование</c:v>
                </c:pt>
                <c:pt idx="27">
                  <c:v>Нагрузочное тестирование</c:v>
                </c:pt>
                <c:pt idx="28">
                  <c:v>Тестирование интеграций</c:v>
                </c:pt>
                <c:pt idx="29">
                  <c:v>Регрессионное тестирование</c:v>
                </c:pt>
                <c:pt idx="30">
                  <c:v>Развёртывание на серверах </c:v>
                </c:pt>
                <c:pt idx="31">
                  <c:v>Публикация в сторах</c:v>
                </c:pt>
                <c:pt idx="32">
                  <c:v>Релизное планирование</c:v>
                </c:pt>
                <c:pt idx="33">
                  <c:v>Автоматизация деплоя (CI/CD)</c:v>
                </c:pt>
                <c:pt idx="34">
                  <c:v>Обновление ресурсов roadmap</c:v>
                </c:pt>
                <c:pt idx="35">
                  <c:v>Техническая поддержка и исправление багов</c:v>
                </c:pt>
              </c:strCache>
            </c:strRef>
          </c:cat>
          <c:val>
            <c:numRef>
              <c:f>Лист1!$E$2:$E$37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74</c:v>
                </c:pt>
                <c:pt idx="17">
                  <c:v>10</c:v>
                </c:pt>
                <c:pt idx="18">
                  <c:v>8</c:v>
                </c:pt>
                <c:pt idx="19">
                  <c:v>9</c:v>
                </c:pt>
                <c:pt idx="20">
                  <c:v>6</c:v>
                </c:pt>
                <c:pt idx="21">
                  <c:v>5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5</c:v>
                </c:pt>
                <c:pt idx="31">
                  <c:v>5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3-EB4D-9448-B5CE1FF49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75309311"/>
        <c:axId val="1375314687"/>
      </c:barChart>
      <c:catAx>
        <c:axId val="1375309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314687"/>
        <c:crosses val="autoZero"/>
        <c:auto val="1"/>
        <c:lblAlgn val="ctr"/>
        <c:lblOffset val="100"/>
        <c:noMultiLvlLbl val="0"/>
      </c:catAx>
      <c:valAx>
        <c:axId val="1375314687"/>
        <c:scaling>
          <c:orientation val="minMax"/>
          <c:min val="4620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530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1</xdr:row>
      <xdr:rowOff>50800</xdr:rowOff>
    </xdr:from>
    <xdr:to>
      <xdr:col>17</xdr:col>
      <xdr:colOff>12700</xdr:colOff>
      <xdr:row>38</xdr:row>
      <xdr:rowOff>25400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78DD35-F5C6-941E-46F3-0FFFE4B2C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3931-8AFC-2B45-8D21-C172C78A3272}">
  <dimension ref="A1:F37"/>
  <sheetViews>
    <sheetView tabSelected="1" topLeftCell="B4" workbookViewId="0">
      <selection activeCell="R25" sqref="R25"/>
    </sheetView>
  </sheetViews>
  <sheetFormatPr baseColWidth="10" defaultRowHeight="16" x14ac:dyDescent="0.2"/>
  <cols>
    <col min="1" max="1" width="12.83203125" bestFit="1" customWidth="1"/>
    <col min="2" max="2" width="40" bestFit="1" customWidth="1"/>
    <col min="3" max="3" width="12.5" bestFit="1" customWidth="1"/>
    <col min="4" max="4" width="15.6640625" bestFit="1" customWidth="1"/>
    <col min="5" max="5" width="18.33203125" customWidth="1"/>
  </cols>
  <sheetData>
    <row r="1" spans="1:6" ht="35" customHeight="1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1"/>
    </row>
    <row r="2" spans="1:6" x14ac:dyDescent="0.2">
      <c r="A2">
        <v>1</v>
      </c>
      <c r="B2" t="s">
        <v>5</v>
      </c>
      <c r="C2" s="3">
        <v>46204</v>
      </c>
      <c r="D2" s="3">
        <v>46204</v>
      </c>
      <c r="E2" s="6">
        <f>D2-C2 +1</f>
        <v>1</v>
      </c>
    </row>
    <row r="3" spans="1:6" x14ac:dyDescent="0.2">
      <c r="A3">
        <f>A2+1</f>
        <v>2</v>
      </c>
      <c r="B3" t="s">
        <v>6</v>
      </c>
      <c r="C3" s="3">
        <v>46205</v>
      </c>
      <c r="D3" s="3">
        <v>46205</v>
      </c>
      <c r="E3" s="6">
        <f>D3-C3 +1</f>
        <v>1</v>
      </c>
    </row>
    <row r="4" spans="1:6" x14ac:dyDescent="0.2">
      <c r="A4">
        <f t="shared" ref="A4:A37" si="0">A3+1</f>
        <v>3</v>
      </c>
      <c r="B4" t="s">
        <v>7</v>
      </c>
      <c r="C4" s="3">
        <v>46208</v>
      </c>
      <c r="D4" s="3">
        <v>46210</v>
      </c>
      <c r="E4" s="6">
        <f>D4-C4+1</f>
        <v>3</v>
      </c>
    </row>
    <row r="5" spans="1:6" x14ac:dyDescent="0.2">
      <c r="A5">
        <f t="shared" si="0"/>
        <v>4</v>
      </c>
      <c r="B5" t="s">
        <v>8</v>
      </c>
      <c r="C5" s="3">
        <v>46212</v>
      </c>
      <c r="D5" s="3">
        <v>46214</v>
      </c>
      <c r="E5" s="6">
        <f>D5-C5 +1</f>
        <v>3</v>
      </c>
    </row>
    <row r="6" spans="1:6" x14ac:dyDescent="0.2">
      <c r="A6">
        <f t="shared" si="0"/>
        <v>5</v>
      </c>
      <c r="B6" t="s">
        <v>9</v>
      </c>
      <c r="C6" s="3">
        <v>46217</v>
      </c>
      <c r="D6" s="3">
        <v>46219</v>
      </c>
      <c r="E6" s="6">
        <f>D6-C6+1</f>
        <v>3</v>
      </c>
      <c r="F6">
        <f>SUM(E2:E7)</f>
        <v>14</v>
      </c>
    </row>
    <row r="7" spans="1:6" x14ac:dyDescent="0.2">
      <c r="A7">
        <f t="shared" si="0"/>
        <v>6</v>
      </c>
      <c r="B7" t="s">
        <v>10</v>
      </c>
      <c r="C7" s="3">
        <v>46220</v>
      </c>
      <c r="D7" s="3">
        <v>46222</v>
      </c>
      <c r="E7" s="6">
        <f>D7-C7 +1</f>
        <v>3</v>
      </c>
      <c r="F7" s="5">
        <v>14</v>
      </c>
    </row>
    <row r="8" spans="1:6" x14ac:dyDescent="0.2">
      <c r="A8">
        <f t="shared" si="0"/>
        <v>7</v>
      </c>
      <c r="B8" t="s">
        <v>11</v>
      </c>
      <c r="C8" s="3">
        <v>46224</v>
      </c>
      <c r="D8" s="3">
        <v>46228</v>
      </c>
      <c r="E8" s="6">
        <f>D8-C8+1</f>
        <v>5</v>
      </c>
    </row>
    <row r="9" spans="1:6" x14ac:dyDescent="0.2">
      <c r="A9">
        <f t="shared" si="0"/>
        <v>8</v>
      </c>
      <c r="B9" t="s">
        <v>12</v>
      </c>
      <c r="C9" s="3">
        <v>46229</v>
      </c>
      <c r="D9" s="3">
        <v>46233</v>
      </c>
      <c r="E9" s="6">
        <f>D9-C9 +1</f>
        <v>5</v>
      </c>
    </row>
    <row r="10" spans="1:6" x14ac:dyDescent="0.2">
      <c r="A10">
        <f t="shared" si="0"/>
        <v>9</v>
      </c>
      <c r="B10" t="s">
        <v>13</v>
      </c>
      <c r="C10" s="3">
        <v>46235</v>
      </c>
      <c r="D10" s="3">
        <v>46238</v>
      </c>
      <c r="E10" s="6">
        <f>D10-C10 +1</f>
        <v>4</v>
      </c>
    </row>
    <row r="11" spans="1:6" x14ac:dyDescent="0.2">
      <c r="A11">
        <f t="shared" si="0"/>
        <v>10</v>
      </c>
      <c r="B11" t="s">
        <v>14</v>
      </c>
      <c r="C11" s="3">
        <v>46239</v>
      </c>
      <c r="D11" s="3">
        <v>46242</v>
      </c>
      <c r="E11" s="6">
        <f>D11-C11 + 1</f>
        <v>4</v>
      </c>
      <c r="F11">
        <f>SUM(E8:E12)</f>
        <v>21</v>
      </c>
    </row>
    <row r="12" spans="1:6" x14ac:dyDescent="0.2">
      <c r="A12">
        <f t="shared" si="0"/>
        <v>11</v>
      </c>
      <c r="B12" t="s">
        <v>15</v>
      </c>
      <c r="C12" s="3">
        <v>46243</v>
      </c>
      <c r="D12" s="3">
        <v>46245</v>
      </c>
      <c r="E12" s="6">
        <f>D12 - C12 + 1</f>
        <v>3</v>
      </c>
      <c r="F12" s="5">
        <v>21</v>
      </c>
    </row>
    <row r="13" spans="1:6" x14ac:dyDescent="0.2">
      <c r="A13">
        <f t="shared" si="0"/>
        <v>12</v>
      </c>
      <c r="B13" t="s">
        <v>16</v>
      </c>
      <c r="C13" s="3">
        <v>46247</v>
      </c>
      <c r="D13" s="3">
        <v>46252</v>
      </c>
      <c r="E13" s="6">
        <f>D13 - C13 + 1</f>
        <v>6</v>
      </c>
    </row>
    <row r="14" spans="1:6" x14ac:dyDescent="0.2">
      <c r="A14">
        <f t="shared" si="0"/>
        <v>13</v>
      </c>
      <c r="B14" t="s">
        <v>17</v>
      </c>
      <c r="C14" s="3">
        <v>46254</v>
      </c>
      <c r="D14" s="3">
        <v>46259</v>
      </c>
      <c r="E14" s="6">
        <f>D14 - C14 + 1</f>
        <v>6</v>
      </c>
    </row>
    <row r="15" spans="1:6" x14ac:dyDescent="0.2">
      <c r="A15">
        <f t="shared" si="0"/>
        <v>14</v>
      </c>
      <c r="B15" t="s">
        <v>18</v>
      </c>
      <c r="C15" s="3">
        <v>46260</v>
      </c>
      <c r="D15" s="3">
        <v>46265</v>
      </c>
      <c r="E15" s="6">
        <f>D15 - C15 + 1</f>
        <v>6</v>
      </c>
    </row>
    <row r="16" spans="1:6" x14ac:dyDescent="0.2">
      <c r="A16">
        <f t="shared" si="0"/>
        <v>15</v>
      </c>
      <c r="B16" t="s">
        <v>19</v>
      </c>
      <c r="C16" s="3">
        <v>46267</v>
      </c>
      <c r="D16" s="3">
        <v>46272</v>
      </c>
      <c r="E16" s="6">
        <f>D16-C16 + 1</f>
        <v>6</v>
      </c>
      <c r="F16">
        <f>SUM(E13:E17)</f>
        <v>28</v>
      </c>
    </row>
    <row r="17" spans="1:6" x14ac:dyDescent="0.2">
      <c r="A17">
        <f t="shared" si="0"/>
        <v>16</v>
      </c>
      <c r="B17" t="s">
        <v>20</v>
      </c>
      <c r="C17" s="3">
        <v>46274</v>
      </c>
      <c r="D17" s="3">
        <v>46277</v>
      </c>
      <c r="E17" s="6">
        <f>D17-C17 + 1</f>
        <v>4</v>
      </c>
      <c r="F17" s="5">
        <v>28</v>
      </c>
    </row>
    <row r="18" spans="1:6" x14ac:dyDescent="0.2">
      <c r="A18">
        <f t="shared" si="0"/>
        <v>17</v>
      </c>
      <c r="B18" t="s">
        <v>21</v>
      </c>
      <c r="C18" s="3">
        <v>46280</v>
      </c>
      <c r="D18" s="3">
        <v>46353</v>
      </c>
      <c r="E18" s="6">
        <f>D18-C18 + 1</f>
        <v>74</v>
      </c>
    </row>
    <row r="19" spans="1:6" x14ac:dyDescent="0.2">
      <c r="A19">
        <f t="shared" si="0"/>
        <v>18</v>
      </c>
      <c r="B19" t="s">
        <v>22</v>
      </c>
      <c r="C19" s="3">
        <v>46357</v>
      </c>
      <c r="D19" s="3">
        <v>46366</v>
      </c>
      <c r="E19" s="6">
        <f>D19-C19+1</f>
        <v>10</v>
      </c>
    </row>
    <row r="20" spans="1:6" x14ac:dyDescent="0.2">
      <c r="A20">
        <f t="shared" si="0"/>
        <v>19</v>
      </c>
      <c r="B20" t="s">
        <v>23</v>
      </c>
      <c r="C20" s="3">
        <v>46367</v>
      </c>
      <c r="D20" s="3">
        <v>46374</v>
      </c>
      <c r="E20" s="6">
        <f>D20-C20+1</f>
        <v>8</v>
      </c>
    </row>
    <row r="21" spans="1:6" x14ac:dyDescent="0.2">
      <c r="A21">
        <f t="shared" si="0"/>
        <v>20</v>
      </c>
      <c r="B21" t="s">
        <v>24</v>
      </c>
      <c r="C21" s="3">
        <v>46375</v>
      </c>
      <c r="D21" s="3">
        <v>46383</v>
      </c>
      <c r="E21" s="6">
        <f>D21-C21 + 1</f>
        <v>9</v>
      </c>
    </row>
    <row r="22" spans="1:6" x14ac:dyDescent="0.2">
      <c r="A22">
        <f t="shared" si="0"/>
        <v>21</v>
      </c>
      <c r="B22" t="s">
        <v>25</v>
      </c>
      <c r="C22" s="3">
        <v>46388</v>
      </c>
      <c r="D22" s="3">
        <v>46393</v>
      </c>
      <c r="E22" s="6">
        <f t="shared" ref="E22:E29" si="1">D22-C22+1</f>
        <v>6</v>
      </c>
    </row>
    <row r="23" spans="1:6" x14ac:dyDescent="0.2">
      <c r="A23">
        <f t="shared" si="0"/>
        <v>22</v>
      </c>
      <c r="B23" t="s">
        <v>26</v>
      </c>
      <c r="C23" s="3">
        <v>46394</v>
      </c>
      <c r="D23" s="3">
        <v>46398</v>
      </c>
      <c r="E23" s="6">
        <f t="shared" si="1"/>
        <v>5</v>
      </c>
    </row>
    <row r="24" spans="1:6" x14ac:dyDescent="0.2">
      <c r="A24">
        <f t="shared" si="0"/>
        <v>23</v>
      </c>
      <c r="B24" t="s">
        <v>27</v>
      </c>
      <c r="C24" s="3">
        <v>46399</v>
      </c>
      <c r="D24" s="3">
        <v>46405</v>
      </c>
      <c r="E24" s="6">
        <f t="shared" si="1"/>
        <v>7</v>
      </c>
      <c r="F24">
        <f>SUM(E18:E25)</f>
        <v>126</v>
      </c>
    </row>
    <row r="25" spans="1:6" x14ac:dyDescent="0.2">
      <c r="A25">
        <f t="shared" si="0"/>
        <v>24</v>
      </c>
      <c r="B25" t="s">
        <v>28</v>
      </c>
      <c r="C25" s="3">
        <v>46406</v>
      </c>
      <c r="D25" s="3">
        <v>46412</v>
      </c>
      <c r="E25" s="6">
        <f t="shared" si="1"/>
        <v>7</v>
      </c>
      <c r="F25" s="5">
        <v>126</v>
      </c>
    </row>
    <row r="26" spans="1:6" x14ac:dyDescent="0.2">
      <c r="A26">
        <f t="shared" si="0"/>
        <v>25</v>
      </c>
      <c r="B26" s="4" t="s">
        <v>29</v>
      </c>
      <c r="C26" s="7">
        <v>46357</v>
      </c>
      <c r="D26" s="7">
        <v>46363</v>
      </c>
      <c r="E26" s="6">
        <f t="shared" si="1"/>
        <v>7</v>
      </c>
    </row>
    <row r="27" spans="1:6" x14ac:dyDescent="0.2">
      <c r="A27">
        <f t="shared" si="0"/>
        <v>26</v>
      </c>
      <c r="B27" s="4" t="s">
        <v>30</v>
      </c>
      <c r="C27" s="7">
        <v>46364</v>
      </c>
      <c r="D27" s="7">
        <v>46370</v>
      </c>
      <c r="E27" s="6">
        <f t="shared" si="1"/>
        <v>7</v>
      </c>
    </row>
    <row r="28" spans="1:6" x14ac:dyDescent="0.2">
      <c r="A28">
        <f t="shared" si="0"/>
        <v>27</v>
      </c>
      <c r="B28" s="4" t="s">
        <v>31</v>
      </c>
      <c r="C28" s="7">
        <v>46371</v>
      </c>
      <c r="D28" s="7">
        <v>46377</v>
      </c>
      <c r="E28" s="6">
        <f t="shared" si="1"/>
        <v>7</v>
      </c>
    </row>
    <row r="29" spans="1:6" x14ac:dyDescent="0.2">
      <c r="A29">
        <f t="shared" si="0"/>
        <v>28</v>
      </c>
      <c r="B29" s="4" t="s">
        <v>32</v>
      </c>
      <c r="C29" s="7">
        <v>46378</v>
      </c>
      <c r="D29" s="7">
        <v>46383</v>
      </c>
      <c r="E29" s="6">
        <f t="shared" si="1"/>
        <v>6</v>
      </c>
    </row>
    <row r="30" spans="1:6" x14ac:dyDescent="0.2">
      <c r="A30">
        <f t="shared" si="0"/>
        <v>29</v>
      </c>
      <c r="B30" s="4" t="s">
        <v>33</v>
      </c>
      <c r="C30" s="7">
        <v>46388</v>
      </c>
      <c r="D30" s="7">
        <v>46394</v>
      </c>
      <c r="E30" s="6">
        <f>D30-C30+1</f>
        <v>7</v>
      </c>
      <c r="F30">
        <f>SUM(E26:E31)</f>
        <v>42</v>
      </c>
    </row>
    <row r="31" spans="1:6" x14ac:dyDescent="0.2">
      <c r="A31">
        <f t="shared" si="0"/>
        <v>30</v>
      </c>
      <c r="B31" s="4" t="s">
        <v>34</v>
      </c>
      <c r="C31" s="7">
        <v>46396</v>
      </c>
      <c r="D31" s="7">
        <v>46403</v>
      </c>
      <c r="E31" s="6">
        <f>D31-C31+1</f>
        <v>8</v>
      </c>
      <c r="F31" s="5">
        <v>42</v>
      </c>
    </row>
    <row r="32" spans="1:6" x14ac:dyDescent="0.2">
      <c r="A32">
        <f t="shared" si="0"/>
        <v>31</v>
      </c>
      <c r="B32" s="4" t="s">
        <v>35</v>
      </c>
      <c r="C32" s="3">
        <v>46419</v>
      </c>
      <c r="D32" s="3">
        <v>46423</v>
      </c>
      <c r="E32" s="6">
        <f>D32-C32+1</f>
        <v>5</v>
      </c>
    </row>
    <row r="33" spans="1:6" x14ac:dyDescent="0.2">
      <c r="A33">
        <f t="shared" si="0"/>
        <v>32</v>
      </c>
      <c r="B33" s="4" t="s">
        <v>36</v>
      </c>
      <c r="C33" s="3">
        <v>46424</v>
      </c>
      <c r="D33" s="3">
        <v>46428</v>
      </c>
      <c r="E33" s="6">
        <f t="shared" ref="E33:E37" si="2">D33-C33+1</f>
        <v>5</v>
      </c>
    </row>
    <row r="34" spans="1:6" x14ac:dyDescent="0.2">
      <c r="A34">
        <f t="shared" si="0"/>
        <v>33</v>
      </c>
      <c r="B34" s="4" t="s">
        <v>37</v>
      </c>
      <c r="C34" s="3">
        <v>46430</v>
      </c>
      <c r="D34" s="3">
        <v>46431</v>
      </c>
      <c r="E34" s="6">
        <f t="shared" si="2"/>
        <v>2</v>
      </c>
    </row>
    <row r="35" spans="1:6" x14ac:dyDescent="0.2">
      <c r="A35">
        <f t="shared" si="0"/>
        <v>34</v>
      </c>
      <c r="B35" s="4" t="s">
        <v>38</v>
      </c>
      <c r="C35" s="3">
        <v>46433</v>
      </c>
      <c r="D35" s="3">
        <v>46435</v>
      </c>
      <c r="E35" s="6">
        <f>D35-C35+1</f>
        <v>3</v>
      </c>
    </row>
    <row r="36" spans="1:6" x14ac:dyDescent="0.2">
      <c r="A36">
        <f t="shared" si="0"/>
        <v>35</v>
      </c>
      <c r="B36" s="4" t="s">
        <v>39</v>
      </c>
      <c r="C36" s="3">
        <v>46442</v>
      </c>
      <c r="D36" s="3">
        <v>46445</v>
      </c>
      <c r="E36" s="6">
        <f t="shared" si="2"/>
        <v>4</v>
      </c>
      <c r="F36">
        <f>SUM(E32:E37)</f>
        <v>21</v>
      </c>
    </row>
    <row r="37" spans="1:6" x14ac:dyDescent="0.2">
      <c r="A37">
        <f t="shared" si="0"/>
        <v>36</v>
      </c>
      <c r="B37" s="4" t="s">
        <v>40</v>
      </c>
      <c r="C37" s="3">
        <v>46447</v>
      </c>
      <c r="D37" s="3">
        <v>46448</v>
      </c>
      <c r="E37" s="6">
        <f t="shared" si="2"/>
        <v>2</v>
      </c>
      <c r="F37" s="5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e314</dc:creator>
  <cp:lastModifiedBy>e314</cp:lastModifiedBy>
  <dcterms:created xsi:type="dcterms:W3CDTF">2026-05-18T20:57:20Z</dcterms:created>
  <dcterms:modified xsi:type="dcterms:W3CDTF">2026-06-09T11:33:17Z</dcterms:modified>
</cp:coreProperties>
</file>