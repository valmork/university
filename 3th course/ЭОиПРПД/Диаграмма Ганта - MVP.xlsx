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korolev/Documents/university/3th course/ЭОиПРПД/"/>
    </mc:Choice>
  </mc:AlternateContent>
  <xr:revisionPtr revIDLastSave="0" documentId="8_{EEA05EE7-8593-D340-8E7B-1289C9C5F13C}" xr6:coauthVersionLast="47" xr6:coauthVersionMax="47" xr10:uidLastSave="{00000000-0000-0000-0000-000000000000}"/>
  <bookViews>
    <workbookView xWindow="0" yWindow="660" windowWidth="29400" windowHeight="16800" xr2:uid="{EBD08F40-0FF6-084A-8264-FD04DA51DF3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16" i="1"/>
  <c r="E11" i="1"/>
  <c r="E9" i="1"/>
  <c r="E5" i="1"/>
  <c r="E3" i="1"/>
  <c r="E4" i="1"/>
  <c r="E6" i="1"/>
  <c r="E7" i="1"/>
  <c r="E8" i="1"/>
  <c r="E10" i="1"/>
  <c r="E12" i="1"/>
  <c r="E13" i="1"/>
  <c r="E14" i="1"/>
  <c r="E15" i="1"/>
  <c r="E17" i="1"/>
  <c r="E18" i="1"/>
  <c r="E19" i="1"/>
  <c r="E20" i="1"/>
  <c r="E21" i="1"/>
  <c r="E23" i="1"/>
  <c r="A18" i="1"/>
  <c r="A19" i="1" s="1"/>
  <c r="A20" i="1" s="1"/>
  <c r="A21" i="1" s="1"/>
  <c r="A22" i="1" s="1"/>
  <c r="A23" i="1" s="1"/>
  <c r="A11" i="1"/>
  <c r="A12" i="1" s="1"/>
  <c r="A13" i="1" s="1"/>
  <c r="A14" i="1" s="1"/>
  <c r="A15" i="1" s="1"/>
  <c r="A16" i="1" s="1"/>
  <c r="A17" i="1" s="1"/>
  <c r="A7" i="1"/>
  <c r="A8" i="1" s="1"/>
  <c r="A9" i="1" s="1"/>
  <c r="A10" i="1" s="1"/>
  <c r="E2" i="1"/>
  <c r="A4" i="1"/>
  <c r="A5" i="1" s="1"/>
  <c r="A6" i="1" s="1"/>
  <c r="A3" i="1"/>
</calcChain>
</file>

<file path=xl/sharedStrings.xml><?xml version="1.0" encoding="utf-8"?>
<sst xmlns="http://schemas.openxmlformats.org/spreadsheetml/2006/main" count="27" uniqueCount="27">
  <si>
    <t>Наименование работ</t>
  </si>
  <si>
    <t>Начало работ</t>
  </si>
  <si>
    <t>Окончание работ</t>
  </si>
  <si>
    <t>Продолжительность работ, дни</t>
  </si>
  <si>
    <t>БД: схема пользователей и семей</t>
  </si>
  <si>
    <t>Регистрация и вход - API</t>
  </si>
  <si>
    <t>Семейная группа - API</t>
  </si>
  <si>
    <t>Регистрация и вход - мобильный UI</t>
  </si>
  <si>
    <t>Профиль и семья - мобильный UI</t>
  </si>
  <si>
    <t>БД: транзакции и баланс ИВ</t>
  </si>
  <si>
    <t>API начисления и списания ИВ</t>
  </si>
  <si>
    <t>Экран баланса - мобильный UI</t>
  </si>
  <si>
    <t>История транзакций - мобильный UI</t>
  </si>
  <si>
    <t>БД: задания и статусы</t>
  </si>
  <si>
    <t>CRUD заданий - API</t>
  </si>
  <si>
    <t>Отправка отчета и смена статуса - API</t>
  </si>
  <si>
    <t>Создание задания - UI родителя</t>
  </si>
  <si>
    <t>Список заданий - UI ребенка</t>
  </si>
  <si>
    <t>Фотоотчет - UI ребенка</t>
  </si>
  <si>
    <t>Проверка отчетов - UI родителя</t>
  </si>
  <si>
    <t>БД: правила и лимиты приложений</t>
  </si>
  <si>
    <t>API управления правилами</t>
  </si>
  <si>
    <t>Интеграция с OS API - Android</t>
  </si>
  <si>
    <t>Интеграция с OS API - IOS</t>
  </si>
  <si>
    <t>Автосписание ИВ за экранное время</t>
  </si>
  <si>
    <t>Управлением правилами - UI родителя</t>
  </si>
  <si>
    <t>Номер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</si>
</sst>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49202818774694"/>
          <c:y val="0.12582571236891352"/>
          <c:w val="0.75889406123737724"/>
          <c:h val="0.849510610501041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Начало работ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Лист1!$B$2:$B$23</c:f>
              <c:strCache>
                <c:ptCount val="22"/>
                <c:pt idx="0">
                  <c:v>БД: схема пользователей и семей</c:v>
                </c:pt>
                <c:pt idx="1">
                  <c:v>Регистрация и вход - API</c:v>
                </c:pt>
                <c:pt idx="2">
                  <c:v>Семейная группа - API</c:v>
                </c:pt>
                <c:pt idx="3">
                  <c:v>Регистрация и вход - мобильный UI</c:v>
                </c:pt>
                <c:pt idx="4">
                  <c:v>Профиль и семья - мобильный UI</c:v>
                </c:pt>
                <c:pt idx="5">
                  <c:v>БД: транзакции и баланс ИВ</c:v>
                </c:pt>
                <c:pt idx="6">
                  <c:v>API начисления и списания ИВ</c:v>
                </c:pt>
                <c:pt idx="7">
                  <c:v>Экран баланса - мобильный UI</c:v>
                </c:pt>
                <c:pt idx="8">
                  <c:v>История транзакций - мобильный UI</c:v>
                </c:pt>
                <c:pt idx="9">
                  <c:v>БД: задания и статусы</c:v>
                </c:pt>
                <c:pt idx="10">
                  <c:v>CRUD заданий - API</c:v>
                </c:pt>
                <c:pt idx="11">
                  <c:v>Отправка отчета и смена статуса - API</c:v>
                </c:pt>
                <c:pt idx="12">
                  <c:v>Создание задания - UI родителя</c:v>
                </c:pt>
                <c:pt idx="13">
                  <c:v>Список заданий - UI ребенка</c:v>
                </c:pt>
                <c:pt idx="14">
                  <c:v>Фотоотчет - UI ребенка</c:v>
                </c:pt>
                <c:pt idx="15">
                  <c:v>Проверка отчетов - UI родителя</c:v>
                </c:pt>
                <c:pt idx="16">
                  <c:v>БД: правила и лимиты приложений</c:v>
                </c:pt>
                <c:pt idx="17">
                  <c:v>API управления правилами</c:v>
                </c:pt>
                <c:pt idx="18">
                  <c:v>Интеграция с OS API - Android</c:v>
                </c:pt>
                <c:pt idx="19">
                  <c:v>Интеграция с OS API - IOS</c:v>
                </c:pt>
                <c:pt idx="20">
                  <c:v>Автосписание ИВ за экранное время</c:v>
                </c:pt>
                <c:pt idx="21">
                  <c:v>Управлением правилами - UI родителя</c:v>
                </c:pt>
              </c:strCache>
            </c:strRef>
          </c:cat>
          <c:val>
            <c:numRef>
              <c:f>Лист1!$C$2:$C$23</c:f>
              <c:numCache>
                <c:formatCode>m/d/yy</c:formatCode>
                <c:ptCount val="22"/>
                <c:pt idx="0">
                  <c:v>46204</c:v>
                </c:pt>
                <c:pt idx="1">
                  <c:v>46206</c:v>
                </c:pt>
                <c:pt idx="2">
                  <c:v>46211</c:v>
                </c:pt>
                <c:pt idx="3">
                  <c:v>46212</c:v>
                </c:pt>
                <c:pt idx="4">
                  <c:v>46217</c:v>
                </c:pt>
                <c:pt idx="5">
                  <c:v>46218</c:v>
                </c:pt>
                <c:pt idx="6">
                  <c:v>46217</c:v>
                </c:pt>
                <c:pt idx="7">
                  <c:v>46220</c:v>
                </c:pt>
                <c:pt idx="8">
                  <c:v>46224</c:v>
                </c:pt>
                <c:pt idx="9">
                  <c:v>46227</c:v>
                </c:pt>
                <c:pt idx="10">
                  <c:v>46232</c:v>
                </c:pt>
                <c:pt idx="11">
                  <c:v>46237</c:v>
                </c:pt>
                <c:pt idx="12">
                  <c:v>46238</c:v>
                </c:pt>
                <c:pt idx="13">
                  <c:v>46244</c:v>
                </c:pt>
                <c:pt idx="14">
                  <c:v>46248</c:v>
                </c:pt>
                <c:pt idx="15">
                  <c:v>46253</c:v>
                </c:pt>
                <c:pt idx="16">
                  <c:v>46251</c:v>
                </c:pt>
                <c:pt idx="17">
                  <c:v>46253</c:v>
                </c:pt>
                <c:pt idx="18">
                  <c:v>46260</c:v>
                </c:pt>
                <c:pt idx="19">
                  <c:v>46266</c:v>
                </c:pt>
                <c:pt idx="20">
                  <c:v>46269</c:v>
                </c:pt>
                <c:pt idx="21">
                  <c:v>46274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3-EB4D-9448-B5CE1FF49D5E}"/>
            </c:ext>
          </c:extLst>
        </c:ser>
        <c:ser>
          <c:idx val="1"/>
          <c:order val="1"/>
          <c:tx>
            <c:v>Продолжительность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Лист1!$E$2:$E$23</c:f>
              <c:numCache>
                <c:formatCode>General</c:formatCode>
                <c:ptCount val="2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3-EB4D-9448-B5CE1FF49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75309311"/>
        <c:axId val="1375314687"/>
      </c:barChart>
      <c:catAx>
        <c:axId val="13753093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314687"/>
        <c:crosses val="autoZero"/>
        <c:auto val="1"/>
        <c:lblAlgn val="ctr"/>
        <c:lblOffset val="100"/>
        <c:noMultiLvlLbl val="0"/>
      </c:catAx>
      <c:valAx>
        <c:axId val="1375314687"/>
        <c:scaling>
          <c:orientation val="minMax"/>
          <c:min val="4620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30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</xdr:colOff>
      <xdr:row>1</xdr:row>
      <xdr:rowOff>50800</xdr:rowOff>
    </xdr:from>
    <xdr:to>
      <xdr:col>17</xdr:col>
      <xdr:colOff>12700</xdr:colOff>
      <xdr:row>29</xdr:row>
      <xdr:rowOff>25400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78DD35-F5C6-941E-46F3-0FFFE4B2C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3931-8AFC-2B45-8D21-C172C78A3272}">
  <dimension ref="A1:F23"/>
  <sheetViews>
    <sheetView tabSelected="1" workbookViewId="0">
      <selection activeCell="E32" sqref="E32"/>
    </sheetView>
  </sheetViews>
  <sheetFormatPr baseColWidth="10" defaultRowHeight="16" x14ac:dyDescent="0.2"/>
  <cols>
    <col min="1" max="1" width="12.83203125" bestFit="1" customWidth="1"/>
    <col min="2" max="2" width="33.83203125" bestFit="1" customWidth="1"/>
    <col min="3" max="3" width="12.5" bestFit="1" customWidth="1"/>
    <col min="4" max="4" width="15.6640625" bestFit="1" customWidth="1"/>
    <col min="5" max="5" width="18.33203125" customWidth="1"/>
  </cols>
  <sheetData>
    <row r="1" spans="1:6" ht="35" customHeight="1" x14ac:dyDescent="0.2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1"/>
    </row>
    <row r="2" spans="1:6" x14ac:dyDescent="0.2">
      <c r="A2">
        <v>1</v>
      </c>
      <c r="B2" t="s">
        <v>4</v>
      </c>
      <c r="C2" s="3">
        <v>46204</v>
      </c>
      <c r="D2" s="3">
        <v>46206</v>
      </c>
      <c r="E2">
        <f>D2-C2 + 1</f>
        <v>3</v>
      </c>
    </row>
    <row r="3" spans="1:6" x14ac:dyDescent="0.2">
      <c r="A3">
        <f>A2+1</f>
        <v>2</v>
      </c>
      <c r="B3" t="s">
        <v>5</v>
      </c>
      <c r="C3" s="3">
        <v>46206</v>
      </c>
      <c r="D3" s="3">
        <v>46210</v>
      </c>
      <c r="E3">
        <f>D3-C3 + 1 - 2</f>
        <v>3</v>
      </c>
    </row>
    <row r="4" spans="1:6" x14ac:dyDescent="0.2">
      <c r="A4">
        <f t="shared" ref="A4:A23" si="0">A3+1</f>
        <v>3</v>
      </c>
      <c r="B4" t="s">
        <v>6</v>
      </c>
      <c r="C4" s="3">
        <v>46211</v>
      </c>
      <c r="D4" s="3">
        <v>46213</v>
      </c>
      <c r="E4">
        <f t="shared" ref="E3:E23" si="1">D4-C4 + 1</f>
        <v>3</v>
      </c>
    </row>
    <row r="5" spans="1:6" x14ac:dyDescent="0.2">
      <c r="A5">
        <f t="shared" si="0"/>
        <v>4</v>
      </c>
      <c r="B5" t="s">
        <v>7</v>
      </c>
      <c r="C5" s="3">
        <v>46212</v>
      </c>
      <c r="D5" s="3">
        <v>46216</v>
      </c>
      <c r="E5">
        <f>D5-C5 + 1 - 2</f>
        <v>3</v>
      </c>
    </row>
    <row r="6" spans="1:6" x14ac:dyDescent="0.2">
      <c r="A6">
        <f t="shared" si="0"/>
        <v>5</v>
      </c>
      <c r="B6" t="s">
        <v>8</v>
      </c>
      <c r="C6" s="3">
        <v>46217</v>
      </c>
      <c r="D6" s="3">
        <v>46219</v>
      </c>
      <c r="E6">
        <f t="shared" si="1"/>
        <v>3</v>
      </c>
    </row>
    <row r="7" spans="1:6" x14ac:dyDescent="0.2">
      <c r="A7">
        <f t="shared" si="0"/>
        <v>6</v>
      </c>
      <c r="B7" t="s">
        <v>9</v>
      </c>
      <c r="C7" s="3">
        <v>46218</v>
      </c>
      <c r="D7" s="3">
        <v>46220</v>
      </c>
      <c r="E7">
        <f t="shared" si="1"/>
        <v>3</v>
      </c>
    </row>
    <row r="8" spans="1:6" x14ac:dyDescent="0.2">
      <c r="A8">
        <f t="shared" si="0"/>
        <v>7</v>
      </c>
      <c r="B8" t="s">
        <v>10</v>
      </c>
      <c r="C8" s="3">
        <v>46217</v>
      </c>
      <c r="D8" s="3">
        <v>46219</v>
      </c>
      <c r="E8">
        <f t="shared" si="1"/>
        <v>3</v>
      </c>
    </row>
    <row r="9" spans="1:6" x14ac:dyDescent="0.2">
      <c r="A9">
        <f t="shared" si="0"/>
        <v>8</v>
      </c>
      <c r="B9" t="s">
        <v>11</v>
      </c>
      <c r="C9" s="3">
        <v>46220</v>
      </c>
      <c r="D9" s="3">
        <v>46223</v>
      </c>
      <c r="E9">
        <f>D9-C9 + 1 -2</f>
        <v>2</v>
      </c>
    </row>
    <row r="10" spans="1:6" x14ac:dyDescent="0.2">
      <c r="A10">
        <f t="shared" si="0"/>
        <v>9</v>
      </c>
      <c r="B10" t="s">
        <v>12</v>
      </c>
      <c r="C10" s="3">
        <v>46224</v>
      </c>
      <c r="D10" s="3">
        <v>46226</v>
      </c>
      <c r="E10">
        <f t="shared" si="1"/>
        <v>3</v>
      </c>
    </row>
    <row r="11" spans="1:6" x14ac:dyDescent="0.2">
      <c r="A11">
        <f t="shared" si="0"/>
        <v>10</v>
      </c>
      <c r="B11" t="s">
        <v>13</v>
      </c>
      <c r="C11" s="3">
        <v>46227</v>
      </c>
      <c r="D11" s="3">
        <v>46231</v>
      </c>
      <c r="E11">
        <f>D11-C11 + 1 -2</f>
        <v>3</v>
      </c>
    </row>
    <row r="12" spans="1:6" x14ac:dyDescent="0.2">
      <c r="A12">
        <f t="shared" si="0"/>
        <v>11</v>
      </c>
      <c r="B12" t="s">
        <v>14</v>
      </c>
      <c r="C12" s="3">
        <v>46232</v>
      </c>
      <c r="D12" s="3">
        <v>46234</v>
      </c>
      <c r="E12">
        <f t="shared" si="1"/>
        <v>3</v>
      </c>
    </row>
    <row r="13" spans="1:6" x14ac:dyDescent="0.2">
      <c r="A13">
        <f t="shared" si="0"/>
        <v>12</v>
      </c>
      <c r="B13" t="s">
        <v>15</v>
      </c>
      <c r="C13" s="3">
        <v>46237</v>
      </c>
      <c r="D13" s="3">
        <v>46239</v>
      </c>
      <c r="E13">
        <f t="shared" si="1"/>
        <v>3</v>
      </c>
    </row>
    <row r="14" spans="1:6" x14ac:dyDescent="0.2">
      <c r="A14">
        <f t="shared" si="0"/>
        <v>13</v>
      </c>
      <c r="B14" t="s">
        <v>16</v>
      </c>
      <c r="C14" s="3">
        <v>46238</v>
      </c>
      <c r="D14" s="3">
        <v>46240</v>
      </c>
      <c r="E14">
        <f t="shared" si="1"/>
        <v>3</v>
      </c>
    </row>
    <row r="15" spans="1:6" x14ac:dyDescent="0.2">
      <c r="A15">
        <f t="shared" si="0"/>
        <v>14</v>
      </c>
      <c r="B15" t="s">
        <v>17</v>
      </c>
      <c r="C15" s="3">
        <v>46244</v>
      </c>
      <c r="D15" s="3">
        <v>46246</v>
      </c>
      <c r="E15">
        <f t="shared" si="1"/>
        <v>3</v>
      </c>
    </row>
    <row r="16" spans="1:6" x14ac:dyDescent="0.2">
      <c r="A16">
        <f t="shared" si="0"/>
        <v>15</v>
      </c>
      <c r="B16" t="s">
        <v>18</v>
      </c>
      <c r="C16" s="3">
        <v>46248</v>
      </c>
      <c r="D16" s="3">
        <v>46252</v>
      </c>
      <c r="E16">
        <f>D16-C16 + 1 -2</f>
        <v>3</v>
      </c>
    </row>
    <row r="17" spans="1:5" x14ac:dyDescent="0.2">
      <c r="A17">
        <f t="shared" si="0"/>
        <v>16</v>
      </c>
      <c r="B17" t="s">
        <v>19</v>
      </c>
      <c r="C17" s="3">
        <v>46253</v>
      </c>
      <c r="D17" s="3">
        <v>46255</v>
      </c>
      <c r="E17">
        <f t="shared" si="1"/>
        <v>3</v>
      </c>
    </row>
    <row r="18" spans="1:5" x14ac:dyDescent="0.2">
      <c r="A18">
        <f t="shared" si="0"/>
        <v>17</v>
      </c>
      <c r="B18" t="s">
        <v>20</v>
      </c>
      <c r="C18" s="3">
        <v>46251</v>
      </c>
      <c r="D18" s="3">
        <v>46252</v>
      </c>
      <c r="E18">
        <f t="shared" si="1"/>
        <v>2</v>
      </c>
    </row>
    <row r="19" spans="1:5" x14ac:dyDescent="0.2">
      <c r="A19">
        <f t="shared" si="0"/>
        <v>18</v>
      </c>
      <c r="B19" t="s">
        <v>21</v>
      </c>
      <c r="C19" s="3">
        <v>46253</v>
      </c>
      <c r="D19" s="3">
        <v>46255</v>
      </c>
      <c r="E19">
        <f t="shared" si="1"/>
        <v>3</v>
      </c>
    </row>
    <row r="20" spans="1:5" x14ac:dyDescent="0.2">
      <c r="A20">
        <f t="shared" si="0"/>
        <v>19</v>
      </c>
      <c r="B20" t="s">
        <v>22</v>
      </c>
      <c r="C20" s="3">
        <v>46260</v>
      </c>
      <c r="D20" s="3">
        <v>46262</v>
      </c>
      <c r="E20">
        <f t="shared" si="1"/>
        <v>3</v>
      </c>
    </row>
    <row r="21" spans="1:5" x14ac:dyDescent="0.2">
      <c r="A21">
        <f t="shared" si="0"/>
        <v>20</v>
      </c>
      <c r="B21" t="s">
        <v>23</v>
      </c>
      <c r="C21" s="3">
        <v>46266</v>
      </c>
      <c r="D21" s="3">
        <v>46268</v>
      </c>
      <c r="E21">
        <f t="shared" si="1"/>
        <v>3</v>
      </c>
    </row>
    <row r="22" spans="1:5" x14ac:dyDescent="0.2">
      <c r="A22">
        <f t="shared" si="0"/>
        <v>21</v>
      </c>
      <c r="B22" t="s">
        <v>24</v>
      </c>
      <c r="C22" s="3">
        <v>46269</v>
      </c>
      <c r="D22" s="3">
        <v>46272</v>
      </c>
      <c r="E22">
        <f>D22-C22 + 1 -2</f>
        <v>2</v>
      </c>
    </row>
    <row r="23" spans="1:5" x14ac:dyDescent="0.2">
      <c r="A23">
        <f t="shared" si="0"/>
        <v>22</v>
      </c>
      <c r="B23" t="s">
        <v>25</v>
      </c>
      <c r="C23" s="3">
        <v>46274</v>
      </c>
      <c r="D23" s="3">
        <v>46276</v>
      </c>
      <c r="E23">
        <f t="shared" si="1"/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e314</dc:creator>
  <cp:lastModifiedBy>e314</cp:lastModifiedBy>
  <dcterms:created xsi:type="dcterms:W3CDTF">2026-05-18T20:57:20Z</dcterms:created>
  <dcterms:modified xsi:type="dcterms:W3CDTF">2026-05-18T21:52:11Z</dcterms:modified>
</cp:coreProperties>
</file>