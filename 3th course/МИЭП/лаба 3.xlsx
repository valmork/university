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korolev/Documents/university/3th course/МИЭП/"/>
    </mc:Choice>
  </mc:AlternateContent>
  <xr:revisionPtr revIDLastSave="0" documentId="13_ncr:1_{CF5EACC6-DE24-9A4E-A769-C07221233092}" xr6:coauthVersionLast="47" xr6:coauthVersionMax="47" xr10:uidLastSave="{00000000-0000-0000-0000-000000000000}"/>
  <bookViews>
    <workbookView xWindow="0" yWindow="680" windowWidth="29400" windowHeight="16880" xr2:uid="{25120A0A-33C2-3843-87D5-659787C989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L16" i="1"/>
  <c r="E19" i="1"/>
  <c r="M2" i="1"/>
  <c r="L3" i="1"/>
  <c r="P14" i="1" l="1"/>
  <c r="L17" i="1"/>
  <c r="A11" i="1" l="1"/>
  <c r="J4" i="1" s="1"/>
  <c r="K4" i="1" s="1"/>
  <c r="J2" i="1"/>
  <c r="K2" i="1" s="1"/>
  <c r="D3" i="1"/>
  <c r="I3" i="1" s="1"/>
  <c r="D4" i="1"/>
  <c r="I4" i="1" s="1"/>
  <c r="D5" i="1"/>
  <c r="I5" i="1" s="1"/>
  <c r="D6" i="1"/>
  <c r="I6" i="1" s="1"/>
  <c r="D7" i="1"/>
  <c r="I7" i="1" s="1"/>
  <c r="D8" i="1"/>
  <c r="I8" i="1" s="1"/>
  <c r="D9" i="1"/>
  <c r="I9" i="1" s="1"/>
  <c r="D10" i="1"/>
  <c r="D2" i="1"/>
  <c r="E10" i="1" l="1"/>
  <c r="I10" i="1"/>
  <c r="I2" i="1"/>
  <c r="B24" i="1"/>
  <c r="E9" i="1"/>
  <c r="F9" i="1"/>
  <c r="G9" i="1" s="1"/>
  <c r="L9" i="1"/>
  <c r="H10" i="1"/>
  <c r="F10" i="1"/>
  <c r="G10" i="1" s="1"/>
  <c r="L8" i="1"/>
  <c r="H9" i="1"/>
  <c r="E8" i="1"/>
  <c r="L7" i="1"/>
  <c r="F8" i="1"/>
  <c r="G8" i="1" s="1"/>
  <c r="L6" i="1"/>
  <c r="H8" i="1"/>
  <c r="E7" i="1"/>
  <c r="L5" i="1"/>
  <c r="F7" i="1"/>
  <c r="G7" i="1" s="1"/>
  <c r="E6" i="1"/>
  <c r="H7" i="1"/>
  <c r="H6" i="1"/>
  <c r="F6" i="1"/>
  <c r="G6" i="1" s="1"/>
  <c r="E5" i="1"/>
  <c r="H5" i="1"/>
  <c r="E4" i="1"/>
  <c r="L4" i="1"/>
  <c r="F5" i="1"/>
  <c r="G5" i="1" s="1"/>
  <c r="H4" i="1"/>
  <c r="E3" i="1"/>
  <c r="F4" i="1"/>
  <c r="G4" i="1" s="1"/>
  <c r="E2" i="1"/>
  <c r="H3" i="1"/>
  <c r="F3" i="1"/>
  <c r="G3" i="1" s="1"/>
  <c r="B23" i="1"/>
  <c r="J9" i="1"/>
  <c r="K9" i="1" s="1"/>
  <c r="J7" i="1"/>
  <c r="K7" i="1" s="1"/>
  <c r="J10" i="1"/>
  <c r="K10" i="1" s="1"/>
  <c r="J8" i="1"/>
  <c r="K8" i="1" s="1"/>
  <c r="J6" i="1"/>
  <c r="K6" i="1" s="1"/>
  <c r="J3" i="1"/>
  <c r="K3" i="1" s="1"/>
  <c r="J5" i="1"/>
  <c r="K5" i="1" s="1"/>
  <c r="P16" i="1" l="1"/>
  <c r="P17" i="1"/>
  <c r="O17" i="1"/>
  <c r="E11" i="1"/>
  <c r="H11" i="1"/>
  <c r="O24" i="1" s="1"/>
  <c r="G11" i="1"/>
  <c r="N2" i="1" s="1"/>
  <c r="G15" i="1" s="1"/>
  <c r="I1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<sst xmlns="http://schemas.openxmlformats.org/spreadsheetml/2006/main" count="25" uniqueCount="22">
  <si>
    <t>t</t>
  </si>
  <si>
    <r>
      <t xml:space="preserve">y </t>
    </r>
    <r>
      <rPr>
        <vertAlign val="subscript"/>
        <sz val="12"/>
        <color theme="1"/>
        <rFont val="Aptos Narrow (Основной текст)"/>
        <charset val="204"/>
      </rPr>
      <t>t</t>
    </r>
  </si>
  <si>
    <t>-</t>
  </si>
  <si>
    <t>Поворотная точка</t>
  </si>
  <si>
    <t>случайность ост. компоненты</t>
  </si>
  <si>
    <t>R/S</t>
  </si>
  <si>
    <t>СКО</t>
  </si>
  <si>
    <t>СРЕДНЯЯ ПО МОДУЛЮ ОШИБКА</t>
  </si>
  <si>
    <t>Так как расчетное значение d больше двух, то его необходимо преобразовать</t>
  </si>
  <si>
    <t xml:space="preserve">d'  = </t>
  </si>
  <si>
    <t>Распределение остатков слишком узкое</t>
  </si>
  <si>
    <t>Так как значение d' находится в пределах критических значений, то нет оснований, ни принять, ни отклонить гипотезу(области неопределенности)</t>
  </si>
  <si>
    <t>a₀</t>
  </si>
  <si>
    <t>a₁</t>
  </si>
  <si>
    <t>Точечный прогноз</t>
  </si>
  <si>
    <t xml:space="preserve">t = </t>
  </si>
  <si>
    <t>Интервальный прогноз</t>
  </si>
  <si>
    <t xml:space="preserve">Погрешность = </t>
  </si>
  <si>
    <t>Верхняя граница</t>
  </si>
  <si>
    <t>Нижняя граница</t>
  </si>
  <si>
    <t>Коэффициент автокорреляции первого порядка</t>
  </si>
  <si>
    <t>&gt; 0,36 - сл. нулевая гипотеза о присутствии автокорреляции принимается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</si>
</sst>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2"/>
      <color theme="1"/>
      <name val="Aptos Narrow"/>
      <family val="2"/>
      <charset val="204"/>
      <scheme val="minor"/>
    </font>
    <font>
      <vertAlign val="subscript"/>
      <sz val="12"/>
      <color theme="1"/>
      <name val="Aptos Narrow (Основной текст)"/>
      <charset val="204"/>
    </font>
    <font>
      <i/>
      <sz val="12"/>
      <color theme="1"/>
      <name val="KaTeX_Math"/>
    </font>
    <font>
      <sz val="14"/>
      <color rgb="FF0F1115"/>
      <name val="Times New Roman"/>
      <family val="1"/>
      <charset val="204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фактических и расчетных значений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Фактические значения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Лист1!$B$2:$B$10</c:f>
              <c:numCache>
                <c:formatCode>General</c:formatCode>
                <c:ptCount val="9"/>
                <c:pt idx="0">
                  <c:v>90</c:v>
                </c:pt>
                <c:pt idx="1">
                  <c:v>87</c:v>
                </c:pt>
                <c:pt idx="2">
                  <c:v>85</c:v>
                </c:pt>
                <c:pt idx="3">
                  <c:v>86</c:v>
                </c:pt>
                <c:pt idx="4">
                  <c:v>82</c:v>
                </c:pt>
                <c:pt idx="5">
                  <c:v>80</c:v>
                </c:pt>
                <c:pt idx="6">
                  <c:v>81</c:v>
                </c:pt>
                <c:pt idx="7">
                  <c:v>78</c:v>
                </c:pt>
                <c:pt idx="8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D-4B47-BE6A-E728B4B0FE99}"/>
            </c:ext>
          </c:extLst>
        </c:ser>
        <c:ser>
          <c:idx val="1"/>
          <c:order val="1"/>
          <c:tx>
            <c:v>Расчетные значения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Лист1!$C$2:$C$10</c:f>
              <c:numCache>
                <c:formatCode>0.0</c:formatCode>
                <c:ptCount val="9"/>
                <c:pt idx="0">
                  <c:v>89.244439999999997</c:v>
                </c:pt>
                <c:pt idx="1">
                  <c:v>87.62</c:v>
                </c:pt>
                <c:pt idx="2">
                  <c:v>86.01</c:v>
                </c:pt>
                <c:pt idx="3">
                  <c:v>84.39</c:v>
                </c:pt>
                <c:pt idx="4">
                  <c:v>82.77</c:v>
                </c:pt>
                <c:pt idx="5">
                  <c:v>81.16</c:v>
                </c:pt>
                <c:pt idx="6">
                  <c:v>79.540000000000006</c:v>
                </c:pt>
                <c:pt idx="7">
                  <c:v>77.92</c:v>
                </c:pt>
                <c:pt idx="8">
                  <c:v>76.31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D-4B47-BE6A-E728B4B0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00383"/>
        <c:axId val="35599487"/>
      </c:lineChart>
      <c:catAx>
        <c:axId val="3560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99487"/>
        <c:crosses val="autoZero"/>
        <c:auto val="1"/>
        <c:lblAlgn val="ctr"/>
        <c:lblOffset val="100"/>
        <c:noMultiLvlLbl val="0"/>
      </c:catAx>
      <c:valAx>
        <c:axId val="3559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2</xdr:col>
      <xdr:colOff>347980</xdr:colOff>
      <xdr:row>20</xdr:row>
      <xdr:rowOff>190500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1DAB72A6-D986-FBB8-610A-5A908DD07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8080"/>
          <a:ext cx="1993900" cy="596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</xdr:colOff>
      <xdr:row>14</xdr:row>
      <xdr:rowOff>20320</xdr:rowOff>
    </xdr:from>
    <xdr:to>
      <xdr:col>4</xdr:col>
      <xdr:colOff>635000</xdr:colOff>
      <xdr:row>15</xdr:row>
      <xdr:rowOff>198120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E992FDF-FE4F-EFAF-ECF3-D83FB9480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3680" y="2895600"/>
          <a:ext cx="144780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284480</xdr:colOff>
      <xdr:row>21</xdr:row>
      <xdr:rowOff>71121</xdr:rowOff>
    </xdr:from>
    <xdr:to>
      <xdr:col>7</xdr:col>
      <xdr:colOff>1036320</xdr:colOff>
      <xdr:row>23</xdr:row>
      <xdr:rowOff>1168401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A4DF760-9749-D875-94C9-FC78134C5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0400" y="4368801"/>
          <a:ext cx="5262880" cy="1503680"/>
        </a:xfrm>
        <a:prstGeom prst="rect">
          <a:avLst/>
        </a:prstGeom>
      </xdr:spPr>
    </xdr:pic>
    <xdr:clientData/>
  </xdr:twoCellAnchor>
  <xdr:twoCellAnchor>
    <xdr:from>
      <xdr:col>8</xdr:col>
      <xdr:colOff>584200</xdr:colOff>
      <xdr:row>20</xdr:row>
      <xdr:rowOff>15240</xdr:rowOff>
    </xdr:from>
    <xdr:to>
      <xdr:col>12</xdr:col>
      <xdr:colOff>1437640</xdr:colOff>
      <xdr:row>30</xdr:row>
      <xdr:rowOff>66040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2B82953-07BD-C850-1CBD-F9DCCFC65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1A82-CE97-D645-A779-6485A4BA3C66}">
  <dimension ref="A1:Q24"/>
  <sheetViews>
    <sheetView tabSelected="1" zoomScale="75" workbookViewId="0">
      <selection activeCell="M9" sqref="M9"/>
    </sheetView>
  </sheetViews>
  <sheetFormatPr baseColWidth="10" defaultRowHeight="16"/>
  <cols>
    <col min="3" max="3" width="14.6640625" bestFit="1" customWidth="1"/>
    <col min="7" max="7" width="12.1640625" bestFit="1" customWidth="1"/>
    <col min="8" max="8" width="17.1640625" bestFit="1" customWidth="1"/>
    <col min="12" max="12" width="16.33203125" bestFit="1" customWidth="1"/>
    <col min="13" max="13" width="26.1640625" bestFit="1" customWidth="1"/>
    <col min="14" max="14" width="18.5" customWidth="1"/>
    <col min="15" max="15" width="17" bestFit="1" customWidth="1"/>
    <col min="16" max="16" width="14.83203125" bestFit="1" customWidth="1"/>
  </cols>
  <sheetData>
    <row r="1" spans="1:16" ht="18">
      <c r="A1" s="2" t="s">
        <v>0</v>
      </c>
      <c r="B1" s="2" t="s">
        <v>1</v>
      </c>
      <c r="C1" s="2" t="e" vm="1">
        <v>#VALUE!</v>
      </c>
      <c r="D1" s="3" t="e" vm="2">
        <v>#VALUE!</v>
      </c>
      <c r="E1" s="3" t="e" vm="3">
        <v>#VALUE!</v>
      </c>
      <c r="F1" s="3" t="e" vm="4">
        <v>#VALUE!</v>
      </c>
      <c r="G1" s="2" t="e" vm="5">
        <v>#VALUE!</v>
      </c>
      <c r="H1" s="4" t="e" vm="6">
        <v>#VALUE!</v>
      </c>
      <c r="I1" s="2" t="e" vm="7">
        <v>#VALUE!</v>
      </c>
      <c r="J1" s="2" t="e" vm="8">
        <v>#VALUE!</v>
      </c>
      <c r="K1" s="2" t="e" vm="9">
        <v>#VALUE!</v>
      </c>
      <c r="L1" s="1" t="s">
        <v>3</v>
      </c>
      <c r="M1" s="1" t="s">
        <v>4</v>
      </c>
      <c r="N1" s="1" t="e" vm="10">
        <v>#VALUE!</v>
      </c>
    </row>
    <row r="2" spans="1:16">
      <c r="A2" s="2">
        <v>1</v>
      </c>
      <c r="B2" s="2">
        <v>90</v>
      </c>
      <c r="C2" s="5">
        <v>89.244439999999997</v>
      </c>
      <c r="D2" s="5">
        <f>B2-C2</f>
        <v>0.75556000000000267</v>
      </c>
      <c r="E2" s="5">
        <f>D2^2</f>
        <v>0.57087091360000408</v>
      </c>
      <c r="F2" s="5" t="s">
        <v>2</v>
      </c>
      <c r="G2" s="5" t="s">
        <v>2</v>
      </c>
      <c r="H2" s="5" t="s">
        <v>2</v>
      </c>
      <c r="I2" s="12">
        <f>ABS(D2/B2*100)</f>
        <v>0.83951111111111409</v>
      </c>
      <c r="J2" s="5">
        <f>$A2-AVERAGE(A2:A10)</f>
        <v>-4</v>
      </c>
      <c r="K2" s="6">
        <f>J2^2</f>
        <v>16</v>
      </c>
      <c r="L2" s="1">
        <v>0</v>
      </c>
      <c r="M2" s="1" t="str">
        <f>IF(SUM(L2:L10)&gt;(2*(9-2)/3-2*SQRT((16*9 - 29)/90)), "случайно", "не случайно")</f>
        <v>случайно</v>
      </c>
      <c r="N2" s="1">
        <f>G11/E11</f>
        <v>2.7054775124084522</v>
      </c>
    </row>
    <row r="3" spans="1:16">
      <c r="A3" s="2">
        <v>2</v>
      </c>
      <c r="B3" s="2">
        <v>87</v>
      </c>
      <c r="C3" s="5">
        <v>87.62</v>
      </c>
      <c r="D3" s="5">
        <f t="shared" ref="D3:D10" si="0">B3-C3</f>
        <v>-0.62000000000000455</v>
      </c>
      <c r="E3" s="5">
        <f t="shared" ref="E3:E10" si="1">D3^2</f>
        <v>0.38440000000000563</v>
      </c>
      <c r="F3" s="5">
        <f>D3-D2</f>
        <v>-1.3755600000000072</v>
      </c>
      <c r="G3" s="5">
        <f t="shared" ref="G3:G10" si="2">F3^2</f>
        <v>1.8921653136000198</v>
      </c>
      <c r="H3" s="5">
        <f>$D3*$D2</f>
        <v>-0.46844720000000512</v>
      </c>
      <c r="I3" s="12">
        <f t="shared" ref="I3:I10" si="3">ABS(D3/B3*100)</f>
        <v>0.71264367816092478</v>
      </c>
      <c r="J3" s="5">
        <f t="shared" ref="J3:J10" si="4">$A3-AVERAGE(A3:A11)</f>
        <v>-7.8888888888888893</v>
      </c>
      <c r="K3" s="6">
        <f t="shared" ref="K3:K10" si="5">J3^2</f>
        <v>62.234567901234577</v>
      </c>
      <c r="L3" s="1">
        <f>IF(OR(AND(D3&gt;D2,D3&gt;D4),AND(D3&lt;D2,D3&lt;D4)),1,0)</f>
        <v>0</v>
      </c>
      <c r="M3" s="1"/>
      <c r="N3" s="1"/>
    </row>
    <row r="4" spans="1:16">
      <c r="A4" s="2">
        <v>3</v>
      </c>
      <c r="B4" s="2">
        <v>85</v>
      </c>
      <c r="C4" s="5">
        <v>86.01</v>
      </c>
      <c r="D4" s="5">
        <f t="shared" si="0"/>
        <v>-1.0100000000000051</v>
      </c>
      <c r="E4" s="5">
        <f t="shared" si="1"/>
        <v>1.0201000000000104</v>
      </c>
      <c r="F4" s="5">
        <f t="shared" ref="F4:F10" si="6">D4-D3</f>
        <v>-0.39000000000000057</v>
      </c>
      <c r="G4" s="5">
        <f t="shared" si="2"/>
        <v>0.15210000000000046</v>
      </c>
      <c r="H4" s="5">
        <f t="shared" ref="H4:H10" si="7">$D4*$D3</f>
        <v>0.62620000000000775</v>
      </c>
      <c r="I4" s="12">
        <f t="shared" si="3"/>
        <v>1.1882352941176531</v>
      </c>
      <c r="J4" s="5">
        <f t="shared" si="4"/>
        <v>-7.875</v>
      </c>
      <c r="K4" s="6">
        <f t="shared" si="5"/>
        <v>62.015625</v>
      </c>
      <c r="L4" s="1">
        <f t="shared" ref="L4:L9" si="8">IF(OR(AND(D4&gt;D3,D4&gt;D5),AND(D4&lt;D3,D4&lt;D5)),1,0)</f>
        <v>1</v>
      </c>
      <c r="M4" s="1"/>
      <c r="N4" s="10"/>
    </row>
    <row r="5" spans="1:16">
      <c r="A5" s="2">
        <v>4</v>
      </c>
      <c r="B5" s="2">
        <v>86</v>
      </c>
      <c r="C5" s="5">
        <v>84.39</v>
      </c>
      <c r="D5" s="5">
        <f t="shared" si="0"/>
        <v>1.6099999999999994</v>
      </c>
      <c r="E5" s="5">
        <f t="shared" si="1"/>
        <v>2.5920999999999981</v>
      </c>
      <c r="F5" s="5">
        <f t="shared" si="6"/>
        <v>2.6200000000000045</v>
      </c>
      <c r="G5" s="5">
        <f t="shared" si="2"/>
        <v>6.8644000000000238</v>
      </c>
      <c r="H5" s="5">
        <f t="shared" si="7"/>
        <v>-1.6261000000000077</v>
      </c>
      <c r="I5" s="12">
        <f t="shared" si="3"/>
        <v>1.8720930232558133</v>
      </c>
      <c r="J5" s="5">
        <f t="shared" si="4"/>
        <v>-8</v>
      </c>
      <c r="K5" s="6">
        <f t="shared" si="5"/>
        <v>64</v>
      </c>
      <c r="L5" s="1">
        <f t="shared" si="8"/>
        <v>1</v>
      </c>
      <c r="M5" s="1"/>
      <c r="N5" s="10"/>
    </row>
    <row r="6" spans="1:16">
      <c r="A6" s="2">
        <v>5</v>
      </c>
      <c r="B6" s="2">
        <v>82</v>
      </c>
      <c r="C6" s="5">
        <v>82.77</v>
      </c>
      <c r="D6" s="5">
        <f t="shared" si="0"/>
        <v>-0.76999999999999602</v>
      </c>
      <c r="E6" s="5">
        <f t="shared" si="1"/>
        <v>0.59289999999999388</v>
      </c>
      <c r="F6" s="5">
        <f t="shared" si="6"/>
        <v>-2.3799999999999955</v>
      </c>
      <c r="G6" s="5">
        <f t="shared" si="2"/>
        <v>5.6643999999999783</v>
      </c>
      <c r="H6" s="5">
        <f t="shared" si="7"/>
        <v>-1.2396999999999931</v>
      </c>
      <c r="I6" s="12">
        <f t="shared" si="3"/>
        <v>0.9390243902438975</v>
      </c>
      <c r="J6" s="5">
        <f t="shared" si="4"/>
        <v>-8.3333333333333339</v>
      </c>
      <c r="K6" s="6">
        <f t="shared" si="5"/>
        <v>69.444444444444457</v>
      </c>
      <c r="L6" s="1">
        <f t="shared" si="8"/>
        <v>0</v>
      </c>
      <c r="M6" s="1"/>
      <c r="N6" s="10"/>
    </row>
    <row r="7" spans="1:16">
      <c r="A7" s="2">
        <v>6</v>
      </c>
      <c r="B7" s="2">
        <v>80</v>
      </c>
      <c r="C7" s="5">
        <v>81.16</v>
      </c>
      <c r="D7" s="5">
        <f t="shared" si="0"/>
        <v>-1.1599999999999966</v>
      </c>
      <c r="E7" s="5">
        <f t="shared" si="1"/>
        <v>1.3455999999999921</v>
      </c>
      <c r="F7" s="5">
        <f t="shared" si="6"/>
        <v>-0.39000000000000057</v>
      </c>
      <c r="G7" s="5">
        <f t="shared" si="2"/>
        <v>0.15210000000000046</v>
      </c>
      <c r="H7" s="5">
        <f t="shared" si="7"/>
        <v>0.89319999999999278</v>
      </c>
      <c r="I7" s="12">
        <f t="shared" si="3"/>
        <v>1.4499999999999957</v>
      </c>
      <c r="J7" s="5">
        <f t="shared" si="4"/>
        <v>-9</v>
      </c>
      <c r="K7" s="6">
        <f t="shared" si="5"/>
        <v>81</v>
      </c>
      <c r="L7" s="1">
        <f t="shared" si="8"/>
        <v>1</v>
      </c>
      <c r="M7" s="1"/>
      <c r="N7" s="10"/>
    </row>
    <row r="8" spans="1:16">
      <c r="A8" s="2">
        <v>7</v>
      </c>
      <c r="B8" s="2">
        <v>81</v>
      </c>
      <c r="C8" s="5">
        <v>79.540000000000006</v>
      </c>
      <c r="D8" s="5">
        <f t="shared" si="0"/>
        <v>1.4599999999999937</v>
      </c>
      <c r="E8" s="5">
        <f t="shared" si="1"/>
        <v>2.131599999999982</v>
      </c>
      <c r="F8" s="5">
        <f t="shared" si="6"/>
        <v>2.6199999999999903</v>
      </c>
      <c r="G8" s="5">
        <f t="shared" si="2"/>
        <v>6.8643999999999492</v>
      </c>
      <c r="H8" s="5">
        <f t="shared" si="7"/>
        <v>-1.6935999999999878</v>
      </c>
      <c r="I8" s="12">
        <f t="shared" si="3"/>
        <v>1.8024691358024616</v>
      </c>
      <c r="J8" s="5">
        <f t="shared" si="4"/>
        <v>-10.25</v>
      </c>
      <c r="K8" s="6">
        <f t="shared" si="5"/>
        <v>105.0625</v>
      </c>
      <c r="L8" s="1">
        <f t="shared" si="8"/>
        <v>1</v>
      </c>
      <c r="M8" s="1"/>
      <c r="N8" s="10"/>
    </row>
    <row r="9" spans="1:16">
      <c r="A9" s="2">
        <v>8</v>
      </c>
      <c r="B9" s="2">
        <v>78</v>
      </c>
      <c r="C9" s="5">
        <v>77.92</v>
      </c>
      <c r="D9" s="5">
        <f t="shared" si="0"/>
        <v>7.9999999999998295E-2</v>
      </c>
      <c r="E9" s="5">
        <f t="shared" si="1"/>
        <v>6.3999999999997271E-3</v>
      </c>
      <c r="F9" s="5">
        <f t="shared" si="6"/>
        <v>-1.3799999999999955</v>
      </c>
      <c r="G9" s="5">
        <f t="shared" si="2"/>
        <v>1.9043999999999874</v>
      </c>
      <c r="H9" s="5">
        <f t="shared" si="7"/>
        <v>0.116799999999997</v>
      </c>
      <c r="I9" s="12">
        <f t="shared" si="3"/>
        <v>0.10256410256410037</v>
      </c>
      <c r="J9" s="5">
        <f t="shared" si="4"/>
        <v>-12.666666666666668</v>
      </c>
      <c r="K9" s="6">
        <f t="shared" si="5"/>
        <v>160.44444444444449</v>
      </c>
      <c r="L9" s="1">
        <f t="shared" si="8"/>
        <v>0</v>
      </c>
      <c r="M9" s="1"/>
      <c r="N9" s="10"/>
    </row>
    <row r="10" spans="1:16">
      <c r="A10" s="2">
        <v>9</v>
      </c>
      <c r="B10" s="2">
        <v>76</v>
      </c>
      <c r="C10" s="5">
        <v>76.31</v>
      </c>
      <c r="D10" s="5">
        <f t="shared" si="0"/>
        <v>-0.31000000000000227</v>
      </c>
      <c r="E10" s="5">
        <f t="shared" si="1"/>
        <v>9.6100000000001407E-2</v>
      </c>
      <c r="F10" s="5">
        <f t="shared" si="6"/>
        <v>-0.39000000000000057</v>
      </c>
      <c r="G10" s="5">
        <f t="shared" si="2"/>
        <v>0.15210000000000046</v>
      </c>
      <c r="H10" s="5">
        <f t="shared" si="7"/>
        <v>-2.4799999999999652E-2</v>
      </c>
      <c r="I10" s="12">
        <f t="shared" si="3"/>
        <v>0.4078947368421082</v>
      </c>
      <c r="J10" s="5">
        <f t="shared" si="4"/>
        <v>-18</v>
      </c>
      <c r="K10" s="6">
        <f t="shared" si="5"/>
        <v>324</v>
      </c>
      <c r="L10" s="1">
        <v>0</v>
      </c>
      <c r="M10" s="1"/>
      <c r="N10" s="10"/>
    </row>
    <row r="11" spans="1:16">
      <c r="A11" s="7">
        <f>SUM(A2:A10)</f>
        <v>45</v>
      </c>
      <c r="E11" s="8">
        <f>SUM(E2:E10)</f>
        <v>8.7400709135999879</v>
      </c>
      <c r="G11" s="8">
        <f>SUM(G3:G10)</f>
        <v>23.646065313599962</v>
      </c>
      <c r="H11" s="8">
        <f>SUM(H3:H10)</f>
        <v>-3.4164471999999964</v>
      </c>
      <c r="I11" s="8">
        <f>SUM(I2:I10)</f>
        <v>9.3144354720980687</v>
      </c>
    </row>
    <row r="13" spans="1:16">
      <c r="K13" s="2"/>
      <c r="L13" s="11" t="s">
        <v>14</v>
      </c>
      <c r="M13" s="2"/>
      <c r="N13" s="2"/>
      <c r="O13" s="15" t="s">
        <v>16</v>
      </c>
      <c r="P13" s="16"/>
    </row>
    <row r="14" spans="1:16">
      <c r="A14" s="9"/>
      <c r="B14" s="9"/>
      <c r="C14" s="9"/>
      <c r="D14" s="9"/>
      <c r="E14" s="1"/>
      <c r="F14" s="1"/>
      <c r="G14" s="1"/>
      <c r="H14" s="1"/>
      <c r="I14" s="1"/>
      <c r="J14" s="1"/>
      <c r="K14" s="2"/>
      <c r="L14" s="2" t="s">
        <v>12</v>
      </c>
      <c r="M14" s="2" t="s">
        <v>13</v>
      </c>
      <c r="N14" s="2"/>
      <c r="O14" s="2" t="s">
        <v>17</v>
      </c>
      <c r="P14" s="5">
        <f xml:space="preserve"> 1.05 * B23</f>
        <v>1.0974842413064518</v>
      </c>
    </row>
    <row r="15" spans="1:16">
      <c r="A15" s="14" t="s">
        <v>8</v>
      </c>
      <c r="B15" s="14"/>
      <c r="C15" s="14"/>
      <c r="D15" s="9"/>
      <c r="F15" t="s">
        <v>9</v>
      </c>
      <c r="G15" s="6">
        <f>4-N2</f>
        <v>1.2945224875915478</v>
      </c>
      <c r="K15" s="2" t="s">
        <v>15</v>
      </c>
      <c r="L15" s="2">
        <v>90.8</v>
      </c>
      <c r="M15" s="2">
        <v>-1.6</v>
      </c>
      <c r="N15" s="2" t="s">
        <v>15</v>
      </c>
      <c r="O15" s="2" t="s">
        <v>18</v>
      </c>
      <c r="P15" s="2" t="s">
        <v>19</v>
      </c>
    </row>
    <row r="16" spans="1:16" ht="16" customHeight="1">
      <c r="A16" s="14"/>
      <c r="B16" s="14"/>
      <c r="C16" s="14"/>
      <c r="D16" s="9"/>
      <c r="K16" s="2">
        <v>10</v>
      </c>
      <c r="L16" s="2">
        <f>$L$15+$M$15*$K16</f>
        <v>74.8</v>
      </c>
      <c r="M16" s="2"/>
      <c r="N16" s="2">
        <v>10</v>
      </c>
      <c r="O16" s="5">
        <f>L16+P14</f>
        <v>75.897484241306444</v>
      </c>
      <c r="P16" s="5">
        <f xml:space="preserve"> L16 - P14</f>
        <v>73.702515758693551</v>
      </c>
    </row>
    <row r="17" spans="1:17" ht="16" customHeight="1">
      <c r="A17" s="9"/>
      <c r="B17" s="9"/>
      <c r="C17" s="9"/>
      <c r="D17" s="9"/>
      <c r="G17" s="14" t="s">
        <v>11</v>
      </c>
      <c r="H17" s="14"/>
      <c r="I17" s="14"/>
      <c r="J17" s="14"/>
      <c r="K17" s="2">
        <v>11</v>
      </c>
      <c r="L17" s="2">
        <f>$L$15+$M$15*$K17</f>
        <v>73.199999999999989</v>
      </c>
      <c r="M17" s="2"/>
      <c r="N17" s="2">
        <v>11</v>
      </c>
      <c r="O17" s="5">
        <f>L17+P14</f>
        <v>74.297484241306435</v>
      </c>
      <c r="P17" s="5">
        <f>L17-P14</f>
        <v>72.102515758693542</v>
      </c>
    </row>
    <row r="18" spans="1:17">
      <c r="G18" s="14"/>
      <c r="H18" s="14"/>
      <c r="I18" s="14"/>
      <c r="J18" s="14"/>
    </row>
    <row r="19" spans="1:17">
      <c r="D19" t="s">
        <v>5</v>
      </c>
      <c r="E19">
        <f>(MAX(D2:D10) - MIN(D2:D10))/ STDEV(D2:D10)</f>
        <v>2.6501519480021876</v>
      </c>
      <c r="G19" s="14"/>
      <c r="H19" s="14"/>
      <c r="I19" s="14"/>
      <c r="J19" s="14"/>
    </row>
    <row r="20" spans="1:17">
      <c r="D20" t="s">
        <v>10</v>
      </c>
      <c r="M20" s="6"/>
    </row>
    <row r="23" spans="1:17">
      <c r="A23" t="s">
        <v>6</v>
      </c>
      <c r="B23">
        <f>STDEV(D2:D10)</f>
        <v>1.0452230869585255</v>
      </c>
      <c r="N23" s="6" t="s">
        <v>20</v>
      </c>
    </row>
    <row r="24" spans="1:17" ht="102" customHeight="1">
      <c r="A24" s="9" t="s">
        <v>7</v>
      </c>
      <c r="B24">
        <f>ABS(SUM(D2:D10)/COUNT(D2:D10))</f>
        <v>3.9511111111099556E-3</v>
      </c>
      <c r="N24" t="e" vm="11">
        <v>#VALUE!</v>
      </c>
      <c r="O24" s="13">
        <f>ABS(H11/E11)</f>
        <v>0.39089467737428008</v>
      </c>
      <c r="P24" s="17" t="s">
        <v>21</v>
      </c>
      <c r="Q24" s="17"/>
    </row>
  </sheetData>
  <mergeCells count="4">
    <mergeCell ref="G17:J19"/>
    <mergeCell ref="O13:P13"/>
    <mergeCell ref="A15:C16"/>
    <mergeCell ref="P24:Q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e314</dc:creator>
  <cp:lastModifiedBy>e314</cp:lastModifiedBy>
  <dcterms:created xsi:type="dcterms:W3CDTF">2025-11-01T08:13:55Z</dcterms:created>
  <dcterms:modified xsi:type="dcterms:W3CDTF">2025-11-26T08:07:15Z</dcterms:modified>
</cp:coreProperties>
</file>