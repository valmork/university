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jsh\Desktop\university\3th course\МИЭП\"/>
    </mc:Choice>
  </mc:AlternateContent>
  <xr:revisionPtr revIDLastSave="0" documentId="13_ncr:1_{8EF7652D-4C9E-44C2-B46C-5018048BD7FB}" xr6:coauthVersionLast="47" xr6:coauthVersionMax="47" xr10:uidLastSave="{00000000-0000-0000-0000-000000000000}"/>
  <bookViews>
    <workbookView xWindow="-120" yWindow="-120" windowWidth="29040" windowHeight="15720" xr2:uid="{5C872C3F-F682-9749-9BA9-9E89B509981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6" i="1" l="1" a="1"/>
  <c r="J46" i="1" s="1"/>
  <c r="J42" i="1" a="1"/>
  <c r="J42" i="1" s="1"/>
  <c r="J38" i="1" a="1"/>
  <c r="J38" i="1" s="1"/>
  <c r="J34" i="1" a="1"/>
  <c r="J34" i="1" s="1"/>
  <c r="K36" i="1"/>
  <c r="J13" i="1"/>
  <c r="I11" i="1"/>
  <c r="J11" i="1" s="1"/>
  <c r="I12" i="1"/>
  <c r="J12" i="1" s="1"/>
  <c r="I13" i="1"/>
  <c r="I10" i="1"/>
  <c r="J10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J48" i="1" l="1"/>
  <c r="J47" i="1"/>
  <c r="J44" i="1"/>
  <c r="J43" i="1"/>
  <c r="L38" i="1"/>
  <c r="L40" i="1"/>
  <c r="K40" i="1"/>
  <c r="J40" i="1"/>
  <c r="L39" i="1"/>
  <c r="K39" i="1"/>
  <c r="J39" i="1"/>
  <c r="K38" i="1"/>
  <c r="L36" i="1"/>
  <c r="J36" i="1"/>
  <c r="L35" i="1"/>
  <c r="K35" i="1"/>
  <c r="J35" i="1"/>
  <c r="L34" i="1"/>
  <c r="K34" i="1"/>
</calcChain>
</file>

<file path=xl/sharedStrings.xml><?xml version="1.0" encoding="utf-8"?>
<sst xmlns="http://schemas.openxmlformats.org/spreadsheetml/2006/main" count="34" uniqueCount="26">
  <si>
    <t>№</t>
  </si>
  <si>
    <t>Валовой продукт, млн. руб.</t>
  </si>
  <si>
    <t>Балансовая стоимость оборудования, млн. руб.</t>
  </si>
  <si>
    <t>Объем промышленного производства, млн. руб.</t>
  </si>
  <si>
    <t>Количество занятых, тыс. чел.</t>
  </si>
  <si>
    <t>i</t>
  </si>
  <si>
    <t>y</t>
  </si>
  <si>
    <t>x1</t>
  </si>
  <si>
    <t>x2</t>
  </si>
  <si>
    <t>x3</t>
  </si>
  <si>
    <t>Проверка значимости коэффициентов коррелляции</t>
  </si>
  <si>
    <t>Коэффициент</t>
  </si>
  <si>
    <t>r</t>
  </si>
  <si>
    <t>t - расчетное</t>
  </si>
  <si>
    <t>Значимость</t>
  </si>
  <si>
    <t>r (y, x1)</t>
  </si>
  <si>
    <t>r (y, x2)</t>
  </si>
  <si>
    <t>r (y, x3)</t>
  </si>
  <si>
    <t>r (x1, x2)</t>
  </si>
  <si>
    <t>Крит. точка</t>
  </si>
  <si>
    <t xml:space="preserve">X = </t>
  </si>
  <si>
    <t xml:space="preserve">Y = </t>
  </si>
  <si>
    <r>
      <t xml:space="preserve">X </t>
    </r>
    <r>
      <rPr>
        <vertAlign val="superscript"/>
        <sz val="12"/>
        <color theme="1"/>
        <rFont val="Aptos Narrow (Основной текст)"/>
        <charset val="204"/>
      </rPr>
      <t>T</t>
    </r>
    <r>
      <rPr>
        <sz val="12"/>
        <color theme="1"/>
        <rFont val="Aptos Narrow"/>
        <family val="2"/>
        <charset val="204"/>
        <scheme val="minor"/>
      </rPr>
      <t xml:space="preserve"> X =</t>
    </r>
  </si>
  <si>
    <r>
      <t xml:space="preserve">(X </t>
    </r>
    <r>
      <rPr>
        <vertAlign val="superscript"/>
        <sz val="12"/>
        <color theme="1"/>
        <rFont val="Aptos Narrow (Основной текст)"/>
        <charset val="204"/>
      </rPr>
      <t>T</t>
    </r>
    <r>
      <rPr>
        <sz val="12"/>
        <color theme="1"/>
        <rFont val="Aptos Narrow"/>
        <family val="2"/>
        <charset val="204"/>
        <scheme val="minor"/>
      </rPr>
      <t xml:space="preserve"> X) </t>
    </r>
    <r>
      <rPr>
        <vertAlign val="superscript"/>
        <sz val="12"/>
        <color theme="1"/>
        <rFont val="Aptos Narrow (Основной текст)"/>
        <charset val="204"/>
      </rPr>
      <t>-1</t>
    </r>
    <r>
      <rPr>
        <sz val="12"/>
        <color theme="1"/>
        <rFont val="Aptos Narrow"/>
        <family val="2"/>
        <charset val="204"/>
        <scheme val="minor"/>
      </rPr>
      <t xml:space="preserve"> =</t>
    </r>
  </si>
  <si>
    <r>
      <t xml:space="preserve">X </t>
    </r>
    <r>
      <rPr>
        <vertAlign val="superscript"/>
        <sz val="12"/>
        <color theme="1"/>
        <rFont val="Aptos Narrow (Основной текст)"/>
        <charset val="204"/>
      </rPr>
      <t>T</t>
    </r>
    <r>
      <rPr>
        <sz val="12"/>
        <color theme="1"/>
        <rFont val="Aptos Narrow"/>
        <family val="2"/>
        <charset val="204"/>
        <scheme val="minor"/>
      </rPr>
      <t xml:space="preserve"> Y =</t>
    </r>
  </si>
  <si>
    <r>
      <t xml:space="preserve">(X </t>
    </r>
    <r>
      <rPr>
        <vertAlign val="superscript"/>
        <sz val="12"/>
        <color theme="1"/>
        <rFont val="Aptos Narrow"/>
        <family val="2"/>
        <scheme val="minor"/>
      </rPr>
      <t>T</t>
    </r>
    <r>
      <rPr>
        <sz val="12"/>
        <color theme="1"/>
        <rFont val="Aptos Narrow"/>
        <family val="2"/>
        <charset val="204"/>
        <scheme val="minor"/>
      </rPr>
      <t xml:space="preserve"> X) </t>
    </r>
    <r>
      <rPr>
        <vertAlign val="superscript"/>
        <sz val="12"/>
        <color theme="1"/>
        <rFont val="Aptos Narrow"/>
        <family val="2"/>
        <scheme val="minor"/>
      </rPr>
      <t>−1</t>
    </r>
    <r>
      <rPr>
        <sz val="12"/>
        <color theme="1"/>
        <rFont val="Aptos Narrow"/>
        <family val="2"/>
        <charset val="204"/>
        <scheme val="minor"/>
      </rPr>
      <t xml:space="preserve"> X </t>
    </r>
    <r>
      <rPr>
        <vertAlign val="superscript"/>
        <sz val="12"/>
        <color theme="1"/>
        <rFont val="Aptos Narrow"/>
        <family val="2"/>
        <scheme val="minor"/>
      </rPr>
      <t>T</t>
    </r>
    <r>
      <rPr>
        <sz val="12"/>
        <color theme="1"/>
        <rFont val="Aptos Narrow"/>
        <family val="2"/>
        <charset val="204"/>
        <scheme val="minor"/>
      </rPr>
      <t xml:space="preserve"> Y =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</si>
</sst>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</font>
    <font>
      <sz val="12"/>
      <color rgb="FF000000"/>
      <name val="Aptos Narrow"/>
      <family val="2"/>
    </font>
    <font>
      <i/>
      <sz val="12"/>
      <color theme="1"/>
      <name val="Aptos Narrow"/>
      <family val="2"/>
      <charset val="204"/>
      <scheme val="minor"/>
    </font>
    <font>
      <sz val="12"/>
      <color rgb="FF000000"/>
      <name val="Aptos Narrow"/>
      <family val="2"/>
      <charset val="204"/>
      <scheme val="minor"/>
    </font>
    <font>
      <sz val="12"/>
      <color rgb="FF000000"/>
      <name val="Aptos Narrow"/>
      <family val="2"/>
      <scheme val="minor"/>
    </font>
    <font>
      <vertAlign val="superscript"/>
      <sz val="12"/>
      <color theme="1"/>
      <name val="Aptos Narrow (Основной текст)"/>
      <charset val="204"/>
    </font>
    <font>
      <vertAlign val="superscript"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0" fillId="2" borderId="0" xfId="0" applyFill="1" applyBorder="1" applyAlignment="1"/>
    <xf numFmtId="0" fontId="0" fillId="2" borderId="1" xfId="0" applyFill="1" applyBorder="1" applyAlignment="1"/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8F280-4239-784A-A99A-DF7CF243BA62}">
  <dimension ref="A1:L63"/>
  <sheetViews>
    <sheetView tabSelected="1" topLeftCell="A29" zoomScaleNormal="100" workbookViewId="0">
      <selection activeCell="L46" sqref="L46"/>
    </sheetView>
  </sheetViews>
  <sheetFormatPr defaultColWidth="11" defaultRowHeight="15.75"/>
  <cols>
    <col min="1" max="1" width="11" bestFit="1" customWidth="1"/>
    <col min="2" max="2" width="15" customWidth="1"/>
    <col min="3" max="3" width="13.5" customWidth="1"/>
    <col min="4" max="4" width="14.375" customWidth="1"/>
    <col min="5" max="5" width="11" bestFit="1" customWidth="1"/>
    <col min="7" max="7" width="12.625" bestFit="1" customWidth="1"/>
    <col min="9" max="9" width="12.5" bestFit="1" customWidth="1"/>
    <col min="10" max="12" width="13" bestFit="1" customWidth="1"/>
  </cols>
  <sheetData>
    <row r="1" spans="1:11" ht="60.95" customHeight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1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G2" s="6"/>
      <c r="H2" s="6" t="s">
        <v>6</v>
      </c>
      <c r="I2" s="6" t="s">
        <v>7</v>
      </c>
      <c r="J2" s="6" t="s">
        <v>8</v>
      </c>
      <c r="K2" s="6" t="s">
        <v>9</v>
      </c>
    </row>
    <row r="3" spans="1:11">
      <c r="A3" s="1">
        <v>1</v>
      </c>
      <c r="B3" s="1">
        <v>6429</v>
      </c>
      <c r="C3" s="3">
        <v>44502</v>
      </c>
      <c r="D3" s="3">
        <v>2572</v>
      </c>
      <c r="E3" s="3">
        <v>153</v>
      </c>
      <c r="G3" s="4" t="s">
        <v>6</v>
      </c>
      <c r="H3" s="4">
        <v>1</v>
      </c>
      <c r="I3" s="4"/>
      <c r="J3" s="4"/>
      <c r="K3" s="4"/>
    </row>
    <row r="4" spans="1:11">
      <c r="A4" s="1">
        <f>A3+1</f>
        <v>2</v>
      </c>
      <c r="B4" s="1">
        <v>5265</v>
      </c>
      <c r="C4" s="3">
        <v>38390</v>
      </c>
      <c r="D4" s="3">
        <v>1960</v>
      </c>
      <c r="E4" s="3">
        <v>174</v>
      </c>
      <c r="G4" s="4" t="s">
        <v>7</v>
      </c>
      <c r="H4" s="7">
        <v>0.94504260203988932</v>
      </c>
      <c r="I4" s="4">
        <v>1</v>
      </c>
      <c r="J4" s="4"/>
      <c r="K4" s="4"/>
    </row>
    <row r="5" spans="1:11">
      <c r="A5" s="1">
        <f t="shared" ref="A5:A32" si="0">A4+1</f>
        <v>3</v>
      </c>
      <c r="B5" s="1">
        <v>8027</v>
      </c>
      <c r="C5" s="3">
        <v>68857</v>
      </c>
      <c r="D5" s="3">
        <v>2162</v>
      </c>
      <c r="E5" s="3">
        <v>241</v>
      </c>
      <c r="G5" s="4" t="s">
        <v>8</v>
      </c>
      <c r="H5" s="4">
        <v>0.75633192469615929</v>
      </c>
      <c r="I5" s="4">
        <v>0.70108530629517973</v>
      </c>
      <c r="J5" s="4">
        <v>1</v>
      </c>
      <c r="K5" s="4"/>
    </row>
    <row r="6" spans="1:11" ht="16.5" thickBot="1">
      <c r="A6" s="1">
        <f t="shared" si="0"/>
        <v>4</v>
      </c>
      <c r="B6" s="1">
        <v>3590</v>
      </c>
      <c r="C6" s="3">
        <v>31650</v>
      </c>
      <c r="D6" s="3">
        <v>959</v>
      </c>
      <c r="E6" s="3">
        <v>122</v>
      </c>
      <c r="G6" s="5" t="s">
        <v>9</v>
      </c>
      <c r="H6" s="8">
        <v>0.92237144414187966</v>
      </c>
      <c r="I6" s="5">
        <v>0.9205272445319419</v>
      </c>
      <c r="J6" s="5">
        <v>0.70529433101972983</v>
      </c>
      <c r="K6" s="5">
        <v>1</v>
      </c>
    </row>
    <row r="7" spans="1:11">
      <c r="A7" s="1">
        <f t="shared" si="0"/>
        <v>5</v>
      </c>
      <c r="B7" s="1">
        <v>2962</v>
      </c>
      <c r="C7" s="3">
        <v>26353</v>
      </c>
      <c r="D7" s="3">
        <v>894</v>
      </c>
      <c r="E7" s="3">
        <v>88</v>
      </c>
    </row>
    <row r="8" spans="1:11">
      <c r="A8" s="1">
        <f t="shared" si="0"/>
        <v>6</v>
      </c>
      <c r="B8" s="3">
        <v>5601</v>
      </c>
      <c r="C8" s="3">
        <v>43109</v>
      </c>
      <c r="D8" s="3">
        <v>1831</v>
      </c>
      <c r="E8" s="3">
        <v>143</v>
      </c>
      <c r="G8" s="36" t="s">
        <v>10</v>
      </c>
      <c r="H8" s="36"/>
      <c r="I8" s="36"/>
      <c r="J8" s="36"/>
    </row>
    <row r="9" spans="1:11">
      <c r="A9" s="1">
        <f t="shared" si="0"/>
        <v>7</v>
      </c>
      <c r="B9" s="3">
        <v>5603</v>
      </c>
      <c r="C9" s="3">
        <v>40878</v>
      </c>
      <c r="D9" s="3">
        <v>2886</v>
      </c>
      <c r="E9" s="3">
        <v>132</v>
      </c>
      <c r="G9" s="9" t="s">
        <v>11</v>
      </c>
      <c r="H9" s="9" t="s">
        <v>12</v>
      </c>
      <c r="I9" s="9" t="s">
        <v>13</v>
      </c>
      <c r="J9" s="9" t="s">
        <v>14</v>
      </c>
      <c r="K9" s="9" t="s">
        <v>19</v>
      </c>
    </row>
    <row r="10" spans="1:11">
      <c r="A10" s="1">
        <f t="shared" si="0"/>
        <v>8</v>
      </c>
      <c r="B10" s="3">
        <v>4778</v>
      </c>
      <c r="C10" s="3">
        <v>35776</v>
      </c>
      <c r="D10" s="3">
        <v>1558</v>
      </c>
      <c r="E10" s="3">
        <v>133</v>
      </c>
      <c r="G10" s="9" t="s">
        <v>15</v>
      </c>
      <c r="H10" s="10">
        <v>0.94504260203988932</v>
      </c>
      <c r="I10" s="9">
        <f>H10*SQRT(30-2)/SQRT(1-H10^2)</f>
        <v>15.295115548441178</v>
      </c>
      <c r="J10" s="9" t="str">
        <f>IF(I10&gt;K10,"ДА","НЕТ")</f>
        <v>ДА</v>
      </c>
      <c r="K10" s="9">
        <v>2.0499999999999998</v>
      </c>
    </row>
    <row r="11" spans="1:11">
      <c r="A11" s="1">
        <f t="shared" si="0"/>
        <v>9</v>
      </c>
      <c r="B11" s="3">
        <v>4014</v>
      </c>
      <c r="C11" s="3">
        <v>37539</v>
      </c>
      <c r="D11" s="3">
        <v>1432</v>
      </c>
      <c r="E11" s="3">
        <v>116</v>
      </c>
      <c r="G11" s="9" t="s">
        <v>16</v>
      </c>
      <c r="H11" s="10">
        <v>0.75633192469615929</v>
      </c>
      <c r="I11" s="9">
        <f t="shared" ref="I11:I13" si="1">H11*SQRT(30-2)/SQRT(1-H11^2)</f>
        <v>6.1177092625806786</v>
      </c>
      <c r="J11" s="9" t="str">
        <f t="shared" ref="J11:J13" si="2">IF(I11&gt;K11,"ДА","НЕТ")</f>
        <v>ДА</v>
      </c>
      <c r="K11" s="9"/>
    </row>
    <row r="12" spans="1:11">
      <c r="A12" s="1">
        <f t="shared" si="0"/>
        <v>10</v>
      </c>
      <c r="B12" s="3">
        <v>6008</v>
      </c>
      <c r="C12" s="3">
        <v>54230</v>
      </c>
      <c r="D12" s="3">
        <v>1675</v>
      </c>
      <c r="E12" s="3">
        <v>159</v>
      </c>
      <c r="G12" s="9" t="s">
        <v>17</v>
      </c>
      <c r="H12" s="11">
        <v>0.92237144000000004</v>
      </c>
      <c r="I12" s="9">
        <f t="shared" si="1"/>
        <v>12.634423929378208</v>
      </c>
      <c r="J12" s="9" t="str">
        <f t="shared" si="2"/>
        <v>ДА</v>
      </c>
      <c r="K12" s="9"/>
    </row>
    <row r="13" spans="1:11">
      <c r="A13" s="1">
        <f t="shared" si="0"/>
        <v>11</v>
      </c>
      <c r="B13" s="3">
        <v>6190</v>
      </c>
      <c r="C13" s="3">
        <v>50117</v>
      </c>
      <c r="D13" s="3">
        <v>2312</v>
      </c>
      <c r="E13" s="3">
        <v>189</v>
      </c>
      <c r="G13" s="9" t="s">
        <v>18</v>
      </c>
      <c r="H13" s="11">
        <v>0.70108530599999996</v>
      </c>
      <c r="I13" s="9">
        <f t="shared" si="1"/>
        <v>5.202513330458217</v>
      </c>
      <c r="J13" s="9" t="str">
        <f t="shared" si="2"/>
        <v>ДА</v>
      </c>
      <c r="K13" s="9"/>
    </row>
    <row r="14" spans="1:11">
      <c r="A14" s="1">
        <f t="shared" si="0"/>
        <v>12</v>
      </c>
      <c r="B14" s="3">
        <v>7515</v>
      </c>
      <c r="C14" s="3">
        <v>55941</v>
      </c>
      <c r="D14" s="3">
        <v>2404</v>
      </c>
      <c r="E14" s="3">
        <v>159</v>
      </c>
    </row>
    <row r="15" spans="1:11">
      <c r="A15" s="1">
        <f t="shared" si="0"/>
        <v>13</v>
      </c>
      <c r="B15" s="3">
        <v>3796</v>
      </c>
      <c r="C15" s="3">
        <v>29658</v>
      </c>
      <c r="D15" s="3">
        <v>1180</v>
      </c>
      <c r="E15" s="3">
        <v>85</v>
      </c>
    </row>
    <row r="16" spans="1:11">
      <c r="A16" s="1">
        <f t="shared" si="0"/>
        <v>14</v>
      </c>
      <c r="B16" s="3">
        <v>7632</v>
      </c>
      <c r="C16" s="3">
        <v>52303</v>
      </c>
      <c r="D16" s="3">
        <v>1904</v>
      </c>
      <c r="E16" s="3">
        <v>144</v>
      </c>
    </row>
    <row r="17" spans="1:5">
      <c r="A17" s="1">
        <f t="shared" si="0"/>
        <v>15</v>
      </c>
      <c r="B17" s="3">
        <v>2907</v>
      </c>
      <c r="C17" s="3">
        <v>19397</v>
      </c>
      <c r="D17" s="3">
        <v>677</v>
      </c>
      <c r="E17" s="3">
        <v>105</v>
      </c>
    </row>
    <row r="18" spans="1:5">
      <c r="A18" s="1">
        <f t="shared" si="0"/>
        <v>16</v>
      </c>
      <c r="B18" s="3">
        <v>7484</v>
      </c>
      <c r="C18" s="3">
        <v>61771</v>
      </c>
      <c r="D18" s="3">
        <v>2476</v>
      </c>
      <c r="E18" s="3">
        <v>168</v>
      </c>
    </row>
    <row r="19" spans="1:5">
      <c r="A19" s="1">
        <f t="shared" si="0"/>
        <v>17</v>
      </c>
      <c r="B19" s="3">
        <v>9743</v>
      </c>
      <c r="C19" s="3">
        <v>71384</v>
      </c>
      <c r="D19" s="3">
        <v>1671</v>
      </c>
      <c r="E19" s="3">
        <v>241</v>
      </c>
    </row>
    <row r="20" spans="1:5">
      <c r="A20" s="1">
        <f t="shared" si="0"/>
        <v>18</v>
      </c>
      <c r="B20" s="3">
        <v>10652</v>
      </c>
      <c r="C20" s="3">
        <v>72981</v>
      </c>
      <c r="D20" s="3">
        <v>3242</v>
      </c>
      <c r="E20" s="3">
        <v>263</v>
      </c>
    </row>
    <row r="21" spans="1:5">
      <c r="A21" s="1">
        <f t="shared" si="0"/>
        <v>19</v>
      </c>
      <c r="B21" s="3">
        <v>13424</v>
      </c>
      <c r="C21" s="3">
        <v>98853</v>
      </c>
      <c r="D21" s="3">
        <v>3118</v>
      </c>
      <c r="E21" s="3">
        <v>417</v>
      </c>
    </row>
    <row r="22" spans="1:5">
      <c r="A22" s="1">
        <f t="shared" si="0"/>
        <v>20</v>
      </c>
      <c r="B22" s="3">
        <v>6656</v>
      </c>
      <c r="C22" s="3">
        <v>48372</v>
      </c>
      <c r="D22" s="3">
        <v>2350</v>
      </c>
      <c r="E22" s="3">
        <v>175</v>
      </c>
    </row>
    <row r="23" spans="1:5">
      <c r="A23" s="1">
        <f t="shared" si="0"/>
        <v>21</v>
      </c>
      <c r="B23" s="3">
        <v>5657</v>
      </c>
      <c r="C23" s="3">
        <v>50514</v>
      </c>
      <c r="D23" s="3">
        <v>1725</v>
      </c>
      <c r="E23" s="3">
        <v>170</v>
      </c>
    </row>
    <row r="24" spans="1:5">
      <c r="A24" s="1">
        <f t="shared" si="0"/>
        <v>22</v>
      </c>
      <c r="B24" s="3">
        <v>9651</v>
      </c>
      <c r="C24" s="3">
        <v>67027</v>
      </c>
      <c r="D24" s="3">
        <v>3206</v>
      </c>
      <c r="E24" s="3">
        <v>227</v>
      </c>
    </row>
    <row r="25" spans="1:5">
      <c r="A25" s="1">
        <f t="shared" si="0"/>
        <v>23</v>
      </c>
      <c r="B25" s="3">
        <v>9803</v>
      </c>
      <c r="C25" s="3">
        <v>73278</v>
      </c>
      <c r="D25" s="3">
        <v>2518</v>
      </c>
      <c r="E25" s="3">
        <v>281</v>
      </c>
    </row>
    <row r="26" spans="1:5">
      <c r="A26" s="1">
        <f t="shared" si="0"/>
        <v>24</v>
      </c>
      <c r="B26" s="3">
        <v>5425</v>
      </c>
      <c r="C26" s="3">
        <v>39549</v>
      </c>
      <c r="D26" s="3">
        <v>1959</v>
      </c>
      <c r="E26" s="3">
        <v>150</v>
      </c>
    </row>
    <row r="27" spans="1:5">
      <c r="A27" s="1">
        <f t="shared" si="0"/>
        <v>25</v>
      </c>
      <c r="B27" s="3">
        <v>3784</v>
      </c>
      <c r="C27" s="3">
        <v>28495</v>
      </c>
      <c r="D27" s="3">
        <v>770</v>
      </c>
      <c r="E27" s="3">
        <v>98</v>
      </c>
    </row>
    <row r="28" spans="1:5">
      <c r="A28" s="1">
        <f t="shared" si="0"/>
        <v>26</v>
      </c>
      <c r="B28" s="3">
        <v>11913</v>
      </c>
      <c r="C28" s="3">
        <v>88151</v>
      </c>
      <c r="D28" s="3">
        <v>2256</v>
      </c>
      <c r="E28" s="3">
        <v>258</v>
      </c>
    </row>
    <row r="29" spans="1:5">
      <c r="A29" s="1">
        <f t="shared" si="0"/>
        <v>27</v>
      </c>
      <c r="B29" s="3">
        <v>9867</v>
      </c>
      <c r="C29" s="3">
        <v>63565</v>
      </c>
      <c r="D29" s="3">
        <v>1918</v>
      </c>
      <c r="E29" s="3">
        <v>229</v>
      </c>
    </row>
    <row r="30" spans="1:5">
      <c r="A30" s="1">
        <f t="shared" si="0"/>
        <v>28</v>
      </c>
      <c r="B30" s="3">
        <v>4359</v>
      </c>
      <c r="C30" s="3">
        <v>31248</v>
      </c>
      <c r="D30" s="3">
        <v>651</v>
      </c>
      <c r="E30" s="3">
        <v>112</v>
      </c>
    </row>
    <row r="31" spans="1:5">
      <c r="A31" s="1">
        <f>A30+1</f>
        <v>29</v>
      </c>
      <c r="B31" s="3">
        <v>10506</v>
      </c>
      <c r="C31" s="3">
        <v>52097</v>
      </c>
      <c r="D31" s="3">
        <v>2726</v>
      </c>
      <c r="E31" s="3">
        <v>226</v>
      </c>
    </row>
    <row r="32" spans="1:5">
      <c r="A32" s="1">
        <f t="shared" si="0"/>
        <v>30</v>
      </c>
      <c r="B32" s="3">
        <v>4911</v>
      </c>
      <c r="C32" s="3">
        <v>45076</v>
      </c>
      <c r="D32" s="3">
        <v>756</v>
      </c>
      <c r="E32" s="3">
        <v>112</v>
      </c>
    </row>
    <row r="34" spans="2:12">
      <c r="B34" s="12">
        <v>1</v>
      </c>
      <c r="C34" s="13">
        <v>44502</v>
      </c>
      <c r="D34" s="14">
        <v>153</v>
      </c>
      <c r="G34" s="21">
        <v>6429</v>
      </c>
      <c r="J34" s="24">
        <f t="array" ref="J34:L36">MMULT(TRANSPOSE(B34:D63), B34:D63)</f>
        <v>30</v>
      </c>
      <c r="K34" s="25">
        <v>1521061</v>
      </c>
      <c r="L34" s="26">
        <v>5270</v>
      </c>
    </row>
    <row r="35" spans="2:12" ht="18.75">
      <c r="B35" s="15">
        <v>1</v>
      </c>
      <c r="C35" s="16">
        <v>38390</v>
      </c>
      <c r="D35" s="17">
        <v>174</v>
      </c>
      <c r="G35" s="22">
        <v>5265</v>
      </c>
      <c r="I35" t="s">
        <v>22</v>
      </c>
      <c r="J35" s="27">
        <v>1521061</v>
      </c>
      <c r="K35">
        <v>87356501177</v>
      </c>
      <c r="L35" s="29">
        <v>303217247</v>
      </c>
    </row>
    <row r="36" spans="2:12">
      <c r="B36" s="15">
        <v>1</v>
      </c>
      <c r="C36" s="16">
        <v>68857</v>
      </c>
      <c r="D36" s="17">
        <v>241</v>
      </c>
      <c r="G36" s="22">
        <v>8027</v>
      </c>
      <c r="J36" s="30">
        <v>5270</v>
      </c>
      <c r="K36" s="31">
        <v>303217247</v>
      </c>
      <c r="L36" s="32">
        <v>1075332</v>
      </c>
    </row>
    <row r="37" spans="2:12">
      <c r="B37" s="15">
        <v>1</v>
      </c>
      <c r="C37" s="16">
        <v>31650</v>
      </c>
      <c r="D37" s="17">
        <v>122</v>
      </c>
      <c r="G37" s="22">
        <v>3590</v>
      </c>
    </row>
    <row r="38" spans="2:12">
      <c r="B38" s="15">
        <v>1</v>
      </c>
      <c r="C38" s="16">
        <v>26353</v>
      </c>
      <c r="D38" s="17">
        <v>88</v>
      </c>
      <c r="G38" s="22">
        <v>2962</v>
      </c>
      <c r="J38" s="24">
        <f t="array" ref="J38:L40">MINVERSE(J34:L36)</f>
        <v>0.28481569242061167</v>
      </c>
      <c r="K38" s="25">
        <v>-5.3767436590376639E-6</v>
      </c>
      <c r="L38" s="26">
        <v>1.2028165353721898E-4</v>
      </c>
    </row>
    <row r="39" spans="2:12" ht="18.75">
      <c r="B39" s="15">
        <v>1</v>
      </c>
      <c r="C39" s="16">
        <v>43109</v>
      </c>
      <c r="D39" s="17">
        <v>143</v>
      </c>
      <c r="G39" s="22">
        <v>5601</v>
      </c>
      <c r="I39" t="s">
        <v>23</v>
      </c>
      <c r="J39" s="27">
        <v>-5.3767436590376978E-6</v>
      </c>
      <c r="K39" s="28">
        <v>6.400992033967554E-10</v>
      </c>
      <c r="L39" s="29">
        <v>-1.5414186425934374E-7</v>
      </c>
    </row>
    <row r="40" spans="2:12">
      <c r="B40" s="15">
        <v>1</v>
      </c>
      <c r="C40" s="16">
        <v>40878</v>
      </c>
      <c r="D40" s="17">
        <v>132</v>
      </c>
      <c r="G40" s="22">
        <v>5603</v>
      </c>
      <c r="J40" s="30">
        <v>1.2028165353722753E-4</v>
      </c>
      <c r="K40" s="31">
        <v>-1.5414186425934387E-7</v>
      </c>
      <c r="L40" s="32">
        <v>4.3804692331321642E-5</v>
      </c>
    </row>
    <row r="41" spans="2:12">
      <c r="B41" s="15">
        <v>1</v>
      </c>
      <c r="C41" s="16">
        <v>35776</v>
      </c>
      <c r="D41" s="17">
        <v>133</v>
      </c>
      <c r="G41" s="22">
        <v>4778</v>
      </c>
    </row>
    <row r="42" spans="2:12">
      <c r="B42" s="15">
        <v>1</v>
      </c>
      <c r="C42" s="16">
        <v>37539</v>
      </c>
      <c r="D42" s="17">
        <v>116</v>
      </c>
      <c r="G42" s="22">
        <v>4014</v>
      </c>
      <c r="J42" s="33">
        <f t="array" ref="J42:J44">MMULT(TRANSPOSE(B34:D63), G34:G63)</f>
        <v>204152</v>
      </c>
    </row>
    <row r="43" spans="2:12" ht="18.75">
      <c r="B43" s="15">
        <v>1</v>
      </c>
      <c r="C43" s="16">
        <v>54230</v>
      </c>
      <c r="D43" s="17">
        <v>159</v>
      </c>
      <c r="G43" s="22">
        <v>6008</v>
      </c>
      <c r="I43" t="s">
        <v>24</v>
      </c>
      <c r="J43" s="34">
        <v>11789069952</v>
      </c>
    </row>
    <row r="44" spans="2:12">
      <c r="B44" s="15">
        <v>1</v>
      </c>
      <c r="C44" s="16">
        <v>50117</v>
      </c>
      <c r="D44" s="17">
        <v>189</v>
      </c>
      <c r="G44" s="22">
        <v>6190</v>
      </c>
      <c r="J44" s="35">
        <v>41228341</v>
      </c>
    </row>
    <row r="45" spans="2:12">
      <c r="B45" s="15">
        <v>1</v>
      </c>
      <c r="C45" s="16">
        <v>55941</v>
      </c>
      <c r="D45" s="17">
        <v>159</v>
      </c>
      <c r="G45" s="22">
        <v>7515</v>
      </c>
    </row>
    <row r="46" spans="2:12">
      <c r="B46" s="15">
        <v>1</v>
      </c>
      <c r="C46" s="16">
        <v>29658</v>
      </c>
      <c r="D46" s="17">
        <v>85</v>
      </c>
      <c r="G46" s="22">
        <v>3796</v>
      </c>
      <c r="J46" s="33">
        <f t="array" ref="J46:J48">MMULT(J38:L40, J42:J44)</f>
        <v>-282.1008432384242</v>
      </c>
    </row>
    <row r="47" spans="2:12" ht="18">
      <c r="B47" s="15">
        <v>1</v>
      </c>
      <c r="C47" s="16">
        <v>52303</v>
      </c>
      <c r="D47" s="17">
        <v>144</v>
      </c>
      <c r="G47" s="22">
        <v>7632</v>
      </c>
      <c r="I47" t="s">
        <v>25</v>
      </c>
      <c r="J47" s="34">
        <v>9.3487971524025326E-2</v>
      </c>
    </row>
    <row r="48" spans="2:12">
      <c r="B48" s="15">
        <v>1</v>
      </c>
      <c r="C48" s="16">
        <v>19397</v>
      </c>
      <c r="D48" s="17">
        <v>105</v>
      </c>
      <c r="G48" s="22">
        <v>2907</v>
      </c>
      <c r="J48" s="35">
        <v>13.361312683651931</v>
      </c>
    </row>
    <row r="49" spans="1:7">
      <c r="A49" t="s">
        <v>20</v>
      </c>
      <c r="B49" s="15">
        <v>1</v>
      </c>
      <c r="C49" s="16">
        <v>61771</v>
      </c>
      <c r="D49" s="17">
        <v>168</v>
      </c>
      <c r="F49" t="s">
        <v>21</v>
      </c>
      <c r="G49" s="22">
        <v>7484</v>
      </c>
    </row>
    <row r="50" spans="1:7">
      <c r="B50" s="15">
        <v>1</v>
      </c>
      <c r="C50" s="16">
        <v>71384</v>
      </c>
      <c r="D50" s="17">
        <v>241</v>
      </c>
      <c r="G50" s="22">
        <v>9743</v>
      </c>
    </row>
    <row r="51" spans="1:7">
      <c r="B51" s="15">
        <v>1</v>
      </c>
      <c r="C51" s="16">
        <v>72981</v>
      </c>
      <c r="D51" s="17">
        <v>263</v>
      </c>
      <c r="G51" s="22">
        <v>10652</v>
      </c>
    </row>
    <row r="52" spans="1:7">
      <c r="B52" s="15">
        <v>1</v>
      </c>
      <c r="C52" s="16">
        <v>98853</v>
      </c>
      <c r="D52" s="17">
        <v>417</v>
      </c>
      <c r="G52" s="22">
        <v>13424</v>
      </c>
    </row>
    <row r="53" spans="1:7">
      <c r="B53" s="15">
        <v>1</v>
      </c>
      <c r="C53" s="16">
        <v>48372</v>
      </c>
      <c r="D53" s="17">
        <v>175</v>
      </c>
      <c r="G53" s="22">
        <v>6656</v>
      </c>
    </row>
    <row r="54" spans="1:7">
      <c r="B54" s="15">
        <v>1</v>
      </c>
      <c r="C54" s="16">
        <v>50514</v>
      </c>
      <c r="D54" s="17">
        <v>170</v>
      </c>
      <c r="G54" s="22">
        <v>5657</v>
      </c>
    </row>
    <row r="55" spans="1:7">
      <c r="B55" s="15">
        <v>1</v>
      </c>
      <c r="C55" s="16">
        <v>67027</v>
      </c>
      <c r="D55" s="17">
        <v>227</v>
      </c>
      <c r="G55" s="22">
        <v>9651</v>
      </c>
    </row>
    <row r="56" spans="1:7">
      <c r="B56" s="15">
        <v>1</v>
      </c>
      <c r="C56" s="16">
        <v>73278</v>
      </c>
      <c r="D56" s="17">
        <v>281</v>
      </c>
      <c r="G56" s="22">
        <v>9803</v>
      </c>
    </row>
    <row r="57" spans="1:7">
      <c r="B57" s="15">
        <v>1</v>
      </c>
      <c r="C57" s="16">
        <v>39549</v>
      </c>
      <c r="D57" s="17">
        <v>150</v>
      </c>
      <c r="G57" s="22">
        <v>5425</v>
      </c>
    </row>
    <row r="58" spans="1:7">
      <c r="B58" s="15">
        <v>1</v>
      </c>
      <c r="C58" s="16">
        <v>28495</v>
      </c>
      <c r="D58" s="17">
        <v>98</v>
      </c>
      <c r="G58" s="22">
        <v>3784</v>
      </c>
    </row>
    <row r="59" spans="1:7">
      <c r="B59" s="15">
        <v>1</v>
      </c>
      <c r="C59" s="16">
        <v>88151</v>
      </c>
      <c r="D59" s="17">
        <v>258</v>
      </c>
      <c r="G59" s="22">
        <v>11913</v>
      </c>
    </row>
    <row r="60" spans="1:7">
      <c r="B60" s="15">
        <v>1</v>
      </c>
      <c r="C60" s="16">
        <v>63565</v>
      </c>
      <c r="D60" s="17">
        <v>229</v>
      </c>
      <c r="G60" s="22">
        <v>9867</v>
      </c>
    </row>
    <row r="61" spans="1:7">
      <c r="B61" s="15">
        <v>1</v>
      </c>
      <c r="C61" s="16">
        <v>31248</v>
      </c>
      <c r="D61" s="17">
        <v>112</v>
      </c>
      <c r="G61" s="22">
        <v>4359</v>
      </c>
    </row>
    <row r="62" spans="1:7">
      <c r="B62" s="15">
        <v>1</v>
      </c>
      <c r="C62" s="16">
        <v>52097</v>
      </c>
      <c r="D62" s="17">
        <v>226</v>
      </c>
      <c r="G62" s="22">
        <v>10506</v>
      </c>
    </row>
    <row r="63" spans="1:7">
      <c r="B63" s="18">
        <v>1</v>
      </c>
      <c r="C63" s="19">
        <v>45076</v>
      </c>
      <c r="D63" s="20">
        <v>112</v>
      </c>
      <c r="G63" s="23">
        <v>4911</v>
      </c>
    </row>
  </sheetData>
  <mergeCells count="1">
    <mergeCell ref="G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e314</dc:creator>
  <cp:lastModifiedBy>Антон Королёв</cp:lastModifiedBy>
  <dcterms:created xsi:type="dcterms:W3CDTF">2025-12-01T20:13:55Z</dcterms:created>
  <dcterms:modified xsi:type="dcterms:W3CDTF">2025-12-02T20:39:59Z</dcterms:modified>
</cp:coreProperties>
</file>