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jsh\Desktop\university\3th course\МИЭП\"/>
    </mc:Choice>
  </mc:AlternateContent>
  <xr:revisionPtr revIDLastSave="0" documentId="13_ncr:1_{4F9B8B5F-E6F9-452E-A139-CE6C1C6A9EE7}" xr6:coauthVersionLast="47" xr6:coauthVersionMax="47" xr10:uidLastSave="{00000000-0000-0000-0000-000000000000}"/>
  <bookViews>
    <workbookView xWindow="-120" yWindow="-120" windowWidth="29040" windowHeight="15720" activeTab="3" xr2:uid="{3381D3DF-D0FD-7A45-9B4C-1AF6F44ED1F4}"/>
  </bookViews>
  <sheets>
    <sheet name="Задача 1 (в4)" sheetId="1" r:id="rId1"/>
    <sheet name="Задача 2 (в4)" sheetId="2" r:id="rId2"/>
    <sheet name="Задача 3 (в4)" sheetId="3" r:id="rId3"/>
    <sheet name="Задача 4 (в4)" sheetId="4" r:id="rId4"/>
  </sheets>
  <definedNames>
    <definedName name="solver_adj" localSheetId="0" hidden="1">'Задача 1 (в4)'!$F$2:$F$3</definedName>
    <definedName name="solver_adj" localSheetId="3" hidden="1">'Задача 4 (в4)'!$E$31:$E$33</definedName>
    <definedName name="solver_cvg" localSheetId="0" hidden="1">0.0001</definedName>
    <definedName name="solver_cvg" localSheetId="3" hidden="1">0.0001</definedName>
    <definedName name="solver_drv" localSheetId="0" hidden="1">1</definedName>
    <definedName name="solver_drv" localSheetId="3" hidden="1">1</definedName>
    <definedName name="solver_eng" localSheetId="0" hidden="1">1</definedName>
    <definedName name="solver_eng" localSheetId="3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lhs1" localSheetId="0" hidden="1">'Задача 1 (в4)'!$F$2:$F$3</definedName>
    <definedName name="solver_lhs1" localSheetId="3" hidden="1">'Задача 4 (в4)'!$E$31:$E$33</definedName>
    <definedName name="solver_lhs2" localSheetId="0" hidden="1">'Задача 1 (в4)'!$F$4</definedName>
    <definedName name="solver_lhs2" localSheetId="3" hidden="1">'Задача 4 (в4)'!$G$31:$G$33</definedName>
    <definedName name="solver_lin" localSheetId="0" hidden="1">2</definedName>
    <definedName name="solver_mip" localSheetId="0" hidden="1">2147483647</definedName>
    <definedName name="solver_mip" localSheetId="3" hidden="1">2147483647</definedName>
    <definedName name="solver_mni" localSheetId="0" hidden="1">30</definedName>
    <definedName name="solver_mni" localSheetId="3" hidden="1">30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3" hidden="1">1</definedName>
    <definedName name="solver_nod" localSheetId="0" hidden="1">2147483647</definedName>
    <definedName name="solver_nod" localSheetId="3" hidden="1">2147483647</definedName>
    <definedName name="solver_num" localSheetId="0" hidden="1">2</definedName>
    <definedName name="solver_num" localSheetId="3" hidden="1">2</definedName>
    <definedName name="solver_nwt" localSheetId="3" hidden="1">1</definedName>
    <definedName name="solver_opt" localSheetId="0" hidden="1">'Задача 1 (в4)'!$H$6</definedName>
    <definedName name="solver_opt" localSheetId="3" hidden="1">'Задача 4 (в4)'!$E$36</definedName>
    <definedName name="solver_pre" localSheetId="0" hidden="1">0.000001</definedName>
    <definedName name="solver_pre" localSheetId="3" hidden="1">0.000001</definedName>
    <definedName name="solver_rbv" localSheetId="0" hidden="1">1</definedName>
    <definedName name="solver_rbv" localSheetId="3" hidden="1">1</definedName>
    <definedName name="solver_rel1" localSheetId="0" hidden="1">3</definedName>
    <definedName name="solver_rel1" localSheetId="3" hidden="1">3</definedName>
    <definedName name="solver_rel2" localSheetId="0" hidden="1">2</definedName>
    <definedName name="solver_rel2" localSheetId="3" hidden="1">1</definedName>
    <definedName name="solver_rhs1" localSheetId="0" hidden="1">0</definedName>
    <definedName name="solver_rhs1" localSheetId="3" hidden="1">0</definedName>
    <definedName name="solver_rhs2" localSheetId="0" hidden="1">1</definedName>
    <definedName name="solver_rhs2" localSheetId="3" hidden="1">'Задача 4 (в4)'!$H$31:$H$33</definedName>
    <definedName name="solver_rlx" localSheetId="0" hidden="1">2</definedName>
    <definedName name="solver_rlx" localSheetId="3" hidden="1">2</definedName>
    <definedName name="solver_rsd" localSheetId="0" hidden="1">0</definedName>
    <definedName name="solver_rsd" localSheetId="3" hidden="1">0</definedName>
    <definedName name="solver_scl" localSheetId="0" hidden="1">1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ssz" localSheetId="3" hidden="1">100</definedName>
    <definedName name="solver_tim" localSheetId="0" hidden="1">2147483647</definedName>
    <definedName name="solver_tim" localSheetId="3" hidden="1">2147483647</definedName>
    <definedName name="solver_tol" localSheetId="0" hidden="1">0.01</definedName>
    <definedName name="solver_tol" localSheetId="3" hidden="1">0.01</definedName>
    <definedName name="solver_typ" localSheetId="0" hidden="1">2</definedName>
    <definedName name="solver_typ" localSheetId="3" hidden="1">1</definedName>
    <definedName name="solver_val" localSheetId="0" hidden="1">0</definedName>
    <definedName name="solver_val" localSheetId="3" hidden="1">0</definedName>
    <definedName name="solver_ver" localSheetId="0" hidden="1">2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4" l="1"/>
  <c r="F39" i="4"/>
  <c r="E39" i="4"/>
  <c r="D39" i="4"/>
  <c r="E36" i="4"/>
  <c r="E37" i="4" s="1"/>
  <c r="G31" i="4" a="1"/>
  <c r="G31" i="4" s="1"/>
  <c r="E28" i="4"/>
  <c r="F27" i="4"/>
  <c r="E27" i="4"/>
  <c r="D27" i="4"/>
  <c r="E24" i="4"/>
  <c r="E25" i="4" s="1"/>
  <c r="G19" i="4" a="1"/>
  <c r="G19" i="4" s="1"/>
  <c r="C5" i="4"/>
  <c r="D5" i="4"/>
  <c r="B5" i="4"/>
  <c r="E3" i="4"/>
  <c r="E4" i="4"/>
  <c r="E2" i="4"/>
  <c r="F2" i="4" s="1"/>
  <c r="L12" i="3"/>
  <c r="M11" i="3"/>
  <c r="L11" i="3"/>
  <c r="O9" i="3"/>
  <c r="N10" i="3"/>
  <c r="N9" i="3"/>
  <c r="E6" i="2"/>
  <c r="C6" i="2"/>
  <c r="D6" i="2"/>
  <c r="B6" i="2"/>
  <c r="F3" i="2"/>
  <c r="G2" i="2" s="1"/>
  <c r="F4" i="2"/>
  <c r="F5" i="2"/>
  <c r="F2" i="2"/>
  <c r="H4" i="1"/>
  <c r="H5" i="1"/>
  <c r="H3" i="1"/>
  <c r="H2" i="1"/>
  <c r="C7" i="1"/>
  <c r="B7" i="1"/>
  <c r="F4" i="1"/>
  <c r="E6" i="1"/>
  <c r="B6" i="4" l="1"/>
  <c r="B7" i="2"/>
  <c r="H6" i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<sst xmlns="http://schemas.openxmlformats.org/spreadsheetml/2006/main" count="123" uniqueCount="51">
  <si>
    <t>A1</t>
  </si>
  <si>
    <t>A2</t>
  </si>
  <si>
    <t>A3</t>
  </si>
  <si>
    <t>A4</t>
  </si>
  <si>
    <t>B1</t>
  </si>
  <si>
    <t>B2</t>
  </si>
  <si>
    <t>p</t>
  </si>
  <si>
    <t>q</t>
  </si>
  <si>
    <t>Ожид. выигр. (игрок А)</t>
  </si>
  <si>
    <t>B3</t>
  </si>
  <si>
    <t>B4</t>
  </si>
  <si>
    <t>min</t>
  </si>
  <si>
    <t>maxmin</t>
  </si>
  <si>
    <t>max</t>
  </si>
  <si>
    <t>minmax</t>
  </si>
  <si>
    <t>Так как minmax = maxmin, то существует седловая точка (A1, B4)</t>
  </si>
  <si>
    <t>Поэтому оптимальная стратегия клиента - выбрать вклад A1, а оптимальная стратегия банка - назначить ставку B4 (12%)</t>
  </si>
  <si>
    <t>B5</t>
  </si>
  <si>
    <t>B5 &gt; B4</t>
  </si>
  <si>
    <t>B3 &gt; B2</t>
  </si>
  <si>
    <t>A2 &lt; A3</t>
  </si>
  <si>
    <t>A3 &gt; A1</t>
  </si>
  <si>
    <t>B1 &gt; B3</t>
  </si>
  <si>
    <t>Так как minmax = maxmin, то существует седловая точка (A3, B1)</t>
  </si>
  <si>
    <t>Оптимальные стратегии A3 и B1</t>
  </si>
  <si>
    <t>p1 = x1 * V</t>
  </si>
  <si>
    <t>p2 = x2 * V</t>
  </si>
  <si>
    <t>p3 = x3 * V</t>
  </si>
  <si>
    <t>v -&gt; max</t>
  </si>
  <si>
    <r>
      <t xml:space="preserve">A </t>
    </r>
    <r>
      <rPr>
        <vertAlign val="superscript"/>
        <sz val="12"/>
        <color theme="1"/>
        <rFont val="Aptos Narrow"/>
        <family val="2"/>
        <scheme val="minor"/>
      </rPr>
      <t xml:space="preserve">T </t>
    </r>
    <r>
      <rPr>
        <sz val="12"/>
        <color theme="1"/>
        <rFont val="Aptos Narrow"/>
        <family val="2"/>
        <scheme val="minor"/>
      </rPr>
      <t>*( xi) &gt;= 1</t>
    </r>
  </si>
  <si>
    <t>(x1+x2 + x3) -&gt; min</t>
  </si>
  <si>
    <t>q1 = y1 *v</t>
  </si>
  <si>
    <t>q2 = y2 *v</t>
  </si>
  <si>
    <t>q3 = y3 *v</t>
  </si>
  <si>
    <t>v = 1 / (x1+x2+x3)</t>
  </si>
  <si>
    <t xml:space="preserve">v = (1/y1+y2+y3) </t>
  </si>
  <si>
    <t>v -&gt; min</t>
  </si>
  <si>
    <t>(y1+y2+y3) -&gt; max</t>
  </si>
  <si>
    <t>A  * (yi) &lt;=1</t>
  </si>
  <si>
    <t>Находим вероятности стратегий А</t>
  </si>
  <si>
    <r>
      <t xml:space="preserve">A </t>
    </r>
    <r>
      <rPr>
        <vertAlign val="superscript"/>
        <sz val="12"/>
        <color theme="1"/>
        <rFont val="Aptos Narrow"/>
        <family val="2"/>
        <scheme val="minor"/>
      </rPr>
      <t>T</t>
    </r>
  </si>
  <si>
    <r>
      <t xml:space="preserve">x </t>
    </r>
    <r>
      <rPr>
        <vertAlign val="subscript"/>
        <sz val="12"/>
        <color theme="1"/>
        <rFont val="Aptos Narrow"/>
        <family val="2"/>
        <scheme val="minor"/>
      </rPr>
      <t>i</t>
    </r>
  </si>
  <si>
    <r>
      <t xml:space="preserve">A </t>
    </r>
    <r>
      <rPr>
        <vertAlign val="superscript"/>
        <sz val="12"/>
        <color theme="1"/>
        <rFont val="Aptos Narrow"/>
        <family val="2"/>
        <scheme val="minor"/>
      </rPr>
      <t>T</t>
    </r>
    <r>
      <rPr>
        <sz val="12"/>
        <color theme="1"/>
        <rFont val="Aptos Narrow"/>
        <family val="2"/>
        <charset val="204"/>
        <scheme val="minor"/>
      </rPr>
      <t xml:space="preserve">  * (x </t>
    </r>
    <r>
      <rPr>
        <vertAlign val="subscript"/>
        <sz val="12"/>
        <color theme="1"/>
        <rFont val="Aptos Narrow"/>
        <family val="2"/>
        <scheme val="minor"/>
      </rPr>
      <t>i</t>
    </r>
    <r>
      <rPr>
        <sz val="12"/>
        <color theme="1"/>
        <rFont val="Aptos Narrow"/>
        <family val="2"/>
        <charset val="204"/>
        <scheme val="minor"/>
      </rPr>
      <t>) &gt;= 1</t>
    </r>
  </si>
  <si>
    <t>Σ</t>
  </si>
  <si>
    <t>(x1 + x2 + x3) -&gt; min</t>
  </si>
  <si>
    <t>v=</t>
  </si>
  <si>
    <t>Находим вероятности стратегий B</t>
  </si>
  <si>
    <t>A</t>
  </si>
  <si>
    <r>
      <t xml:space="preserve">y </t>
    </r>
    <r>
      <rPr>
        <vertAlign val="subscript"/>
        <sz val="12"/>
        <color theme="1"/>
        <rFont val="Aptos Narrow"/>
        <family val="2"/>
        <scheme val="minor"/>
      </rPr>
      <t>i</t>
    </r>
  </si>
  <si>
    <r>
      <t xml:space="preserve">A * (y </t>
    </r>
    <r>
      <rPr>
        <vertAlign val="subscript"/>
        <sz val="12"/>
        <color theme="1"/>
        <rFont val="Aptos Narrow"/>
        <family val="2"/>
        <scheme val="minor"/>
      </rPr>
      <t>i</t>
    </r>
    <r>
      <rPr>
        <sz val="12"/>
        <color theme="1"/>
        <rFont val="Aptos Narrow"/>
        <family val="2"/>
        <charset val="204"/>
        <scheme val="minor"/>
      </rPr>
      <t>) &lt;= 1</t>
    </r>
  </si>
  <si>
    <t>(y1 + y2 + y3) -&gt;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</si>
</sst>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2"/>
      <name val="Aptos Narrow"/>
      <family val="2"/>
      <charset val="204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Fill="1"/>
    <xf numFmtId="0" fontId="2" fillId="2" borderId="0" xfId="0" applyFont="1" applyFill="1"/>
    <xf numFmtId="0" fontId="0" fillId="4" borderId="1" xfId="0" applyFill="1" applyBorder="1"/>
    <xf numFmtId="0" fontId="1" fillId="4" borderId="1" xfId="0" applyFont="1" applyFill="1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0" fillId="2" borderId="1" xfId="0" applyFill="1" applyBorder="1"/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8CF7-E692-1F45-BD2B-FB54BFD8BF6B}">
  <dimension ref="A1:H8"/>
  <sheetViews>
    <sheetView workbookViewId="0">
      <selection activeCell="H13" sqref="H13"/>
    </sheetView>
  </sheetViews>
  <sheetFormatPr defaultColWidth="11" defaultRowHeight="15.75" x14ac:dyDescent="0.25"/>
  <cols>
    <col min="1" max="1" width="12.375" bestFit="1" customWidth="1"/>
  </cols>
  <sheetData>
    <row r="1" spans="1:8" x14ac:dyDescent="0.25">
      <c r="B1" t="s">
        <v>4</v>
      </c>
      <c r="C1" t="s">
        <v>5</v>
      </c>
      <c r="E1" t="s">
        <v>6</v>
      </c>
      <c r="F1" t="s">
        <v>7</v>
      </c>
    </row>
    <row r="2" spans="1:8" x14ac:dyDescent="0.25">
      <c r="A2" t="s">
        <v>0</v>
      </c>
      <c r="B2">
        <v>14</v>
      </c>
      <c r="C2">
        <v>12</v>
      </c>
      <c r="E2">
        <v>0.75000000946327894</v>
      </c>
      <c r="F2">
        <v>0.5</v>
      </c>
      <c r="H2">
        <f>B2*$F$2+C2*$F$3</f>
        <v>13</v>
      </c>
    </row>
    <row r="3" spans="1:8" x14ac:dyDescent="0.25">
      <c r="A3" t="s">
        <v>1</v>
      </c>
      <c r="B3">
        <v>13</v>
      </c>
      <c r="C3">
        <v>7</v>
      </c>
      <c r="E3">
        <v>0</v>
      </c>
      <c r="F3">
        <v>0.5</v>
      </c>
      <c r="H3">
        <f>B3*$F$2+C3*$F$3</f>
        <v>10</v>
      </c>
    </row>
    <row r="4" spans="1:8" x14ac:dyDescent="0.25">
      <c r="A4" t="s">
        <v>2</v>
      </c>
      <c r="B4">
        <v>10</v>
      </c>
      <c r="C4">
        <v>16</v>
      </c>
      <c r="E4">
        <v>0.24999999053672095</v>
      </c>
      <c r="F4">
        <f>SUM(F2:F3)</f>
        <v>1</v>
      </c>
      <c r="H4">
        <f>B4*$F$2+C4*$F$3</f>
        <v>13</v>
      </c>
    </row>
    <row r="5" spans="1:8" x14ac:dyDescent="0.25">
      <c r="A5" t="s">
        <v>3</v>
      </c>
      <c r="B5">
        <v>11</v>
      </c>
      <c r="C5">
        <v>14</v>
      </c>
      <c r="E5">
        <v>0</v>
      </c>
      <c r="H5">
        <f>B5*$F$2+C5*$F$3</f>
        <v>12.5</v>
      </c>
    </row>
    <row r="6" spans="1:8" x14ac:dyDescent="0.25">
      <c r="E6">
        <f>SUM(E2:E5)</f>
        <v>0.99999999999999989</v>
      </c>
      <c r="H6" s="1">
        <f>MAX(H2:H5)</f>
        <v>13</v>
      </c>
    </row>
    <row r="7" spans="1:8" ht="31.5" x14ac:dyDescent="0.25">
      <c r="A7" s="2" t="s">
        <v>8</v>
      </c>
      <c r="B7">
        <f>SUMPRODUCT(E2:E5,B2:B5)</f>
        <v>13.000000037853114</v>
      </c>
      <c r="C7">
        <f>SUMPRODUCT(E2:E5,C2:C5)</f>
        <v>12.999999962146882</v>
      </c>
      <c r="D7" s="1">
        <f>MIN(B7:C7)</f>
        <v>12.999999962146882</v>
      </c>
    </row>
    <row r="8" spans="1:8" x14ac:dyDescent="0.25">
      <c r="A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DACAE-3996-154B-9B89-62D52FA45CAF}">
  <dimension ref="A1:G9"/>
  <sheetViews>
    <sheetView workbookViewId="0">
      <selection activeCell="A9" sqref="A9"/>
    </sheetView>
  </sheetViews>
  <sheetFormatPr defaultColWidth="11" defaultRowHeight="15.75" x14ac:dyDescent="0.25"/>
  <cols>
    <col min="1" max="1" width="10.125" customWidth="1"/>
  </cols>
  <sheetData>
    <row r="1" spans="1:7" x14ac:dyDescent="0.25">
      <c r="B1" t="s">
        <v>4</v>
      </c>
      <c r="C1" t="s">
        <v>5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0</v>
      </c>
      <c r="B2">
        <v>13</v>
      </c>
      <c r="C2">
        <v>15</v>
      </c>
      <c r="D2">
        <v>15</v>
      </c>
      <c r="E2">
        <v>12</v>
      </c>
      <c r="F2">
        <f>MIN(B2:E2)</f>
        <v>12</v>
      </c>
      <c r="G2" s="1">
        <f>MAX(F2:F5)</f>
        <v>12</v>
      </c>
    </row>
    <row r="3" spans="1:7" x14ac:dyDescent="0.25">
      <c r="A3" t="s">
        <v>1</v>
      </c>
      <c r="B3">
        <v>11</v>
      </c>
      <c r="C3">
        <v>10</v>
      </c>
      <c r="D3">
        <v>14</v>
      </c>
      <c r="E3">
        <v>7</v>
      </c>
      <c r="F3">
        <f t="shared" ref="F3:F5" si="0">MIN(B3:E3)</f>
        <v>7</v>
      </c>
    </row>
    <row r="4" spans="1:7" x14ac:dyDescent="0.25">
      <c r="A4" t="s">
        <v>2</v>
      </c>
      <c r="B4">
        <v>7</v>
      </c>
      <c r="C4">
        <v>15</v>
      </c>
      <c r="D4">
        <v>8</v>
      </c>
      <c r="E4">
        <v>10</v>
      </c>
      <c r="F4">
        <f t="shared" si="0"/>
        <v>7</v>
      </c>
    </row>
    <row r="5" spans="1:7" x14ac:dyDescent="0.25">
      <c r="A5" t="s">
        <v>3</v>
      </c>
      <c r="B5">
        <v>7</v>
      </c>
      <c r="C5">
        <v>11</v>
      </c>
      <c r="D5">
        <v>11</v>
      </c>
      <c r="E5">
        <v>12</v>
      </c>
      <c r="F5">
        <f t="shared" si="0"/>
        <v>7</v>
      </c>
    </row>
    <row r="6" spans="1:7" x14ac:dyDescent="0.25">
      <c r="A6" t="s">
        <v>13</v>
      </c>
      <c r="B6">
        <f>MAX(B2:B5)</f>
        <v>13</v>
      </c>
      <c r="C6">
        <f t="shared" ref="C6:D6" si="1">MAX(C2:C5)</f>
        <v>15</v>
      </c>
      <c r="D6">
        <f t="shared" si="1"/>
        <v>15</v>
      </c>
      <c r="E6">
        <f>MAX(E2:E5)</f>
        <v>12</v>
      </c>
    </row>
    <row r="7" spans="1:7" x14ac:dyDescent="0.25">
      <c r="A7" t="s">
        <v>14</v>
      </c>
      <c r="B7" s="1">
        <f>MIN(B6:F6)</f>
        <v>12</v>
      </c>
    </row>
    <row r="8" spans="1:7" x14ac:dyDescent="0.25">
      <c r="A8" t="s">
        <v>15</v>
      </c>
    </row>
    <row r="9" spans="1:7" x14ac:dyDescent="0.25">
      <c r="A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3ED9-ECB0-A148-880D-C460266E0B9C}">
  <dimension ref="A1:R15"/>
  <sheetViews>
    <sheetView workbookViewId="0">
      <selection activeCell="J23" sqref="J23"/>
    </sheetView>
  </sheetViews>
  <sheetFormatPr defaultColWidth="11" defaultRowHeight="15.75" x14ac:dyDescent="0.25"/>
  <sheetData>
    <row r="1" spans="1:18" x14ac:dyDescent="0.25">
      <c r="B1" t="s">
        <v>4</v>
      </c>
      <c r="C1" t="s">
        <v>5</v>
      </c>
      <c r="D1" t="s">
        <v>9</v>
      </c>
      <c r="E1" t="s">
        <v>10</v>
      </c>
      <c r="F1" t="s">
        <v>17</v>
      </c>
      <c r="I1" t="s">
        <v>4</v>
      </c>
      <c r="J1" t="s">
        <v>5</v>
      </c>
      <c r="K1" t="s">
        <v>9</v>
      </c>
      <c r="L1" t="s">
        <v>17</v>
      </c>
      <c r="O1" t="s">
        <v>4</v>
      </c>
      <c r="P1" t="s">
        <v>9</v>
      </c>
      <c r="Q1" t="s">
        <v>17</v>
      </c>
    </row>
    <row r="2" spans="1:18" x14ac:dyDescent="0.25">
      <c r="A2" t="s">
        <v>0</v>
      </c>
      <c r="B2">
        <v>5</v>
      </c>
      <c r="C2">
        <v>7</v>
      </c>
      <c r="D2">
        <v>7</v>
      </c>
      <c r="E2" s="5">
        <v>4</v>
      </c>
      <c r="F2" s="6">
        <v>6</v>
      </c>
      <c r="H2" t="s">
        <v>0</v>
      </c>
      <c r="I2" s="3">
        <v>5</v>
      </c>
      <c r="J2" s="7">
        <v>7</v>
      </c>
      <c r="K2" s="8">
        <v>7</v>
      </c>
      <c r="L2">
        <v>6</v>
      </c>
      <c r="N2" t="s">
        <v>0</v>
      </c>
      <c r="O2" s="3">
        <v>5</v>
      </c>
      <c r="P2" s="9">
        <v>7</v>
      </c>
      <c r="Q2">
        <v>6</v>
      </c>
    </row>
    <row r="3" spans="1:18" x14ac:dyDescent="0.25">
      <c r="A3" t="s">
        <v>1</v>
      </c>
      <c r="B3">
        <v>9</v>
      </c>
      <c r="C3">
        <v>3</v>
      </c>
      <c r="D3">
        <v>8</v>
      </c>
      <c r="E3" s="5">
        <v>3</v>
      </c>
      <c r="F3" s="6">
        <v>4</v>
      </c>
      <c r="G3" s="4" t="s">
        <v>18</v>
      </c>
      <c r="H3" t="s">
        <v>1</v>
      </c>
      <c r="I3" s="3">
        <v>9</v>
      </c>
      <c r="J3" s="7">
        <v>3</v>
      </c>
      <c r="K3" s="8">
        <v>8</v>
      </c>
      <c r="L3">
        <v>4</v>
      </c>
      <c r="M3" s="1" t="s">
        <v>19</v>
      </c>
      <c r="N3" t="s">
        <v>1</v>
      </c>
      <c r="O3" s="7">
        <v>9</v>
      </c>
      <c r="P3" s="7">
        <v>8</v>
      </c>
      <c r="Q3" s="5">
        <v>4</v>
      </c>
      <c r="R3" s="10" t="s">
        <v>20</v>
      </c>
    </row>
    <row r="4" spans="1:18" x14ac:dyDescent="0.25">
      <c r="A4" t="s">
        <v>2</v>
      </c>
      <c r="B4">
        <v>10</v>
      </c>
      <c r="C4">
        <v>1</v>
      </c>
      <c r="D4">
        <v>10</v>
      </c>
      <c r="E4" s="5">
        <v>7</v>
      </c>
      <c r="F4" s="6">
        <v>7</v>
      </c>
      <c r="H4" t="s">
        <v>2</v>
      </c>
      <c r="I4" s="3">
        <v>10</v>
      </c>
      <c r="J4" s="7">
        <v>1</v>
      </c>
      <c r="K4" s="8">
        <v>10</v>
      </c>
      <c r="L4">
        <v>7</v>
      </c>
      <c r="N4" t="s">
        <v>2</v>
      </c>
      <c r="O4" s="8">
        <v>10</v>
      </c>
      <c r="P4" s="8">
        <v>10</v>
      </c>
      <c r="Q4" s="6">
        <v>7</v>
      </c>
    </row>
    <row r="5" spans="1:18" x14ac:dyDescent="0.25">
      <c r="A5" t="s">
        <v>3</v>
      </c>
      <c r="B5">
        <v>6</v>
      </c>
      <c r="C5">
        <v>3</v>
      </c>
      <c r="D5">
        <v>4</v>
      </c>
      <c r="E5" s="5">
        <v>3</v>
      </c>
      <c r="F5" s="6">
        <v>5</v>
      </c>
      <c r="H5" t="s">
        <v>3</v>
      </c>
      <c r="I5" s="3">
        <v>6</v>
      </c>
      <c r="J5" s="7">
        <v>3</v>
      </c>
      <c r="K5" s="8">
        <v>4</v>
      </c>
      <c r="L5">
        <v>5</v>
      </c>
      <c r="N5" t="s">
        <v>3</v>
      </c>
      <c r="O5" s="3">
        <v>6</v>
      </c>
      <c r="P5" s="9">
        <v>4</v>
      </c>
      <c r="Q5">
        <v>5</v>
      </c>
    </row>
    <row r="8" spans="1:18" x14ac:dyDescent="0.25">
      <c r="A8" s="3"/>
      <c r="B8" s="3" t="s">
        <v>4</v>
      </c>
      <c r="C8" s="3" t="s">
        <v>9</v>
      </c>
      <c r="D8" s="3" t="s">
        <v>17</v>
      </c>
      <c r="G8" s="3" t="s">
        <v>4</v>
      </c>
      <c r="H8" s="3" t="s">
        <v>9</v>
      </c>
      <c r="I8" s="3" t="s">
        <v>17</v>
      </c>
      <c r="K8" s="11"/>
      <c r="L8" s="12" t="s">
        <v>4</v>
      </c>
      <c r="M8" s="12" t="s">
        <v>17</v>
      </c>
      <c r="N8" t="s">
        <v>11</v>
      </c>
      <c r="O8" t="s">
        <v>12</v>
      </c>
    </row>
    <row r="9" spans="1:18" x14ac:dyDescent="0.25">
      <c r="A9" s="3" t="s">
        <v>0</v>
      </c>
      <c r="B9" s="7">
        <v>5</v>
      </c>
      <c r="C9" s="7">
        <v>7</v>
      </c>
      <c r="D9" s="7">
        <v>6</v>
      </c>
      <c r="F9" s="3" t="s">
        <v>2</v>
      </c>
      <c r="G9" s="8">
        <v>10</v>
      </c>
      <c r="H9" s="7">
        <v>10</v>
      </c>
      <c r="I9" s="9">
        <v>7</v>
      </c>
      <c r="J9" s="1" t="s">
        <v>22</v>
      </c>
      <c r="K9" s="11" t="s">
        <v>2</v>
      </c>
      <c r="L9" s="11">
        <v>10</v>
      </c>
      <c r="M9" s="11">
        <v>7</v>
      </c>
      <c r="N9">
        <f>MIN(L9:M9)</f>
        <v>7</v>
      </c>
      <c r="O9" s="1">
        <f>MAX(N9:N10)</f>
        <v>7</v>
      </c>
    </row>
    <row r="10" spans="1:18" x14ac:dyDescent="0.25">
      <c r="A10" t="s">
        <v>2</v>
      </c>
      <c r="B10" s="8">
        <v>10</v>
      </c>
      <c r="C10" s="8">
        <v>10</v>
      </c>
      <c r="D10" s="6">
        <v>7</v>
      </c>
      <c r="E10" t="s">
        <v>21</v>
      </c>
      <c r="F10" s="3" t="s">
        <v>3</v>
      </c>
      <c r="G10" s="8">
        <v>6</v>
      </c>
      <c r="H10" s="7">
        <v>4</v>
      </c>
      <c r="I10" s="3">
        <v>5</v>
      </c>
      <c r="K10" s="11" t="s">
        <v>3</v>
      </c>
      <c r="L10" s="11">
        <v>6</v>
      </c>
      <c r="M10" s="11">
        <v>5</v>
      </c>
      <c r="N10">
        <f t="shared" ref="N10" si="0">MIN(L10:M10)</f>
        <v>5</v>
      </c>
    </row>
    <row r="11" spans="1:18" x14ac:dyDescent="0.25">
      <c r="A11" t="s">
        <v>3</v>
      </c>
      <c r="B11" s="3">
        <v>6</v>
      </c>
      <c r="C11" s="9">
        <v>4</v>
      </c>
      <c r="D11">
        <v>5</v>
      </c>
      <c r="K11" t="s">
        <v>13</v>
      </c>
      <c r="L11">
        <f>MAX(L9:L10)</f>
        <v>10</v>
      </c>
      <c r="M11">
        <f>MAX(M9:M10)</f>
        <v>7</v>
      </c>
    </row>
    <row r="12" spans="1:18" x14ac:dyDescent="0.25">
      <c r="K12" s="13" t="s">
        <v>14</v>
      </c>
      <c r="L12" s="1">
        <f>MIN(L11:M11)</f>
        <v>7</v>
      </c>
    </row>
    <row r="14" spans="1:18" x14ac:dyDescent="0.25">
      <c r="K14" s="6" t="s">
        <v>23</v>
      </c>
      <c r="L14" s="6"/>
      <c r="M14" s="6"/>
      <c r="N14" s="6"/>
      <c r="O14" s="6"/>
    </row>
    <row r="15" spans="1:18" x14ac:dyDescent="0.25">
      <c r="K15" s="6" t="s">
        <v>24</v>
      </c>
      <c r="L15" s="6"/>
      <c r="M15" s="6"/>
      <c r="N15" s="6"/>
      <c r="O15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7396-8CB1-1D49-9001-7761717ACC11}">
  <dimension ref="A1:U46"/>
  <sheetViews>
    <sheetView tabSelected="1" topLeftCell="A13" workbookViewId="0">
      <selection activeCell="K28" sqref="K28"/>
    </sheetView>
  </sheetViews>
  <sheetFormatPr defaultColWidth="11" defaultRowHeight="15.75" x14ac:dyDescent="0.25"/>
  <sheetData>
    <row r="1" spans="1:8" x14ac:dyDescent="0.25">
      <c r="B1" t="s">
        <v>4</v>
      </c>
      <c r="C1" t="s">
        <v>5</v>
      </c>
      <c r="D1" t="s">
        <v>9</v>
      </c>
      <c r="E1" t="s">
        <v>11</v>
      </c>
      <c r="F1" t="s">
        <v>12</v>
      </c>
    </row>
    <row r="2" spans="1:8" x14ac:dyDescent="0.25">
      <c r="A2" t="s">
        <v>0</v>
      </c>
      <c r="B2">
        <v>2</v>
      </c>
      <c r="C2">
        <v>10</v>
      </c>
      <c r="D2">
        <v>8</v>
      </c>
      <c r="E2">
        <f>MIN(B2:D2)</f>
        <v>2</v>
      </c>
      <c r="F2" s="1">
        <f>MAX(E2:E4)</f>
        <v>7</v>
      </c>
    </row>
    <row r="3" spans="1:8" x14ac:dyDescent="0.25">
      <c r="A3" t="s">
        <v>1</v>
      </c>
      <c r="B3">
        <v>7</v>
      </c>
      <c r="C3">
        <v>6</v>
      </c>
      <c r="D3">
        <v>14</v>
      </c>
      <c r="E3">
        <f t="shared" ref="E3:E4" si="0">MIN(B3:D3)</f>
        <v>6</v>
      </c>
    </row>
    <row r="4" spans="1:8" x14ac:dyDescent="0.25">
      <c r="A4" t="s">
        <v>2</v>
      </c>
      <c r="B4">
        <v>16</v>
      </c>
      <c r="C4">
        <v>10</v>
      </c>
      <c r="D4">
        <v>7</v>
      </c>
      <c r="E4">
        <f t="shared" si="0"/>
        <v>7</v>
      </c>
    </row>
    <row r="5" spans="1:8" x14ac:dyDescent="0.25">
      <c r="A5" t="s">
        <v>13</v>
      </c>
      <c r="B5">
        <f>MAX(B2:B4)</f>
        <v>16</v>
      </c>
      <c r="C5">
        <f t="shared" ref="C5:D5" si="1">MAX(C2:C4)</f>
        <v>10</v>
      </c>
      <c r="D5">
        <f t="shared" si="1"/>
        <v>14</v>
      </c>
    </row>
    <row r="6" spans="1:8" x14ac:dyDescent="0.25">
      <c r="A6" t="s">
        <v>14</v>
      </c>
      <c r="B6" s="1">
        <f>MIN(B5:E5)</f>
        <v>10</v>
      </c>
    </row>
    <row r="10" spans="1:8" x14ac:dyDescent="0.25">
      <c r="B10" s="17" t="s">
        <v>0</v>
      </c>
      <c r="C10" s="17" t="s">
        <v>1</v>
      </c>
      <c r="D10" s="17" t="s">
        <v>2</v>
      </c>
      <c r="F10" s="17" t="s">
        <v>4</v>
      </c>
      <c r="G10" s="17" t="s">
        <v>5</v>
      </c>
      <c r="H10" s="17" t="s">
        <v>9</v>
      </c>
    </row>
    <row r="11" spans="1:8" x14ac:dyDescent="0.25">
      <c r="B11" s="17" t="s">
        <v>25</v>
      </c>
      <c r="C11" s="17" t="s">
        <v>26</v>
      </c>
      <c r="D11" s="17" t="s">
        <v>27</v>
      </c>
      <c r="F11" s="17" t="s">
        <v>31</v>
      </c>
      <c r="G11" s="17" t="s">
        <v>32</v>
      </c>
      <c r="H11" s="17" t="s">
        <v>33</v>
      </c>
    </row>
    <row r="12" spans="1:8" x14ac:dyDescent="0.25">
      <c r="B12" s="19" t="s">
        <v>34</v>
      </c>
      <c r="C12" s="19"/>
      <c r="D12" s="19"/>
      <c r="F12" s="18" t="s">
        <v>35</v>
      </c>
      <c r="G12" s="18"/>
      <c r="H12" s="18"/>
    </row>
    <row r="13" spans="1:8" x14ac:dyDescent="0.25">
      <c r="B13" t="s">
        <v>28</v>
      </c>
      <c r="F13" t="s">
        <v>36</v>
      </c>
    </row>
    <row r="14" spans="1:8" x14ac:dyDescent="0.25">
      <c r="B14" t="s">
        <v>30</v>
      </c>
      <c r="F14" t="s">
        <v>37</v>
      </c>
    </row>
    <row r="15" spans="1:8" ht="18" x14ac:dyDescent="0.25">
      <c r="B15" t="s">
        <v>29</v>
      </c>
      <c r="F15" t="s">
        <v>38</v>
      </c>
    </row>
    <row r="18" spans="1:8" ht="19.5" x14ac:dyDescent="0.35">
      <c r="A18" s="20" t="s">
        <v>39</v>
      </c>
      <c r="E18" s="14" t="s">
        <v>41</v>
      </c>
      <c r="G18" t="s">
        <v>42</v>
      </c>
    </row>
    <row r="19" spans="1:8" ht="18" x14ac:dyDescent="0.25">
      <c r="A19" s="16" t="s">
        <v>40</v>
      </c>
      <c r="B19" s="16"/>
      <c r="C19" s="16"/>
      <c r="E19">
        <v>3.7890044289698936E-2</v>
      </c>
      <c r="G19" cm="1">
        <f t="array" ref="G19:G21">MMULT(A20:C22,E19:E21)</f>
        <v>1.0000000024687641</v>
      </c>
      <c r="H19">
        <v>1</v>
      </c>
    </row>
    <row r="20" spans="1:8" x14ac:dyDescent="0.25">
      <c r="A20">
        <v>2</v>
      </c>
      <c r="B20">
        <v>7</v>
      </c>
      <c r="C20">
        <v>16</v>
      </c>
      <c r="E20">
        <v>2.6745913906816979E-2</v>
      </c>
      <c r="G20">
        <v>0.9999999991764208</v>
      </c>
      <c r="H20">
        <v>1</v>
      </c>
    </row>
    <row r="21" spans="1:8" x14ac:dyDescent="0.25">
      <c r="A21">
        <v>10</v>
      </c>
      <c r="B21">
        <v>6</v>
      </c>
      <c r="C21">
        <v>10</v>
      </c>
      <c r="E21">
        <v>4.6062407283852955E-2</v>
      </c>
      <c r="G21">
        <v>0.99999999999999978</v>
      </c>
      <c r="H21">
        <v>1</v>
      </c>
    </row>
    <row r="22" spans="1:8" x14ac:dyDescent="0.25">
      <c r="A22">
        <v>8</v>
      </c>
      <c r="B22">
        <v>14</v>
      </c>
      <c r="C22">
        <v>7</v>
      </c>
    </row>
    <row r="24" spans="1:8" x14ac:dyDescent="0.25">
      <c r="D24" t="s">
        <v>43</v>
      </c>
      <c r="E24">
        <f>SUM(E19:E21)</f>
        <v>0.11069836548036886</v>
      </c>
      <c r="F24" t="s">
        <v>44</v>
      </c>
    </row>
    <row r="25" spans="1:8" x14ac:dyDescent="0.25">
      <c r="D25" t="s">
        <v>45</v>
      </c>
      <c r="E25">
        <f>1/E24</f>
        <v>9.0335570508251006</v>
      </c>
    </row>
    <row r="26" spans="1:8" x14ac:dyDescent="0.25">
      <c r="D26" s="17" t="s">
        <v>0</v>
      </c>
      <c r="E26" s="17" t="s">
        <v>1</v>
      </c>
      <c r="F26" s="17" t="s">
        <v>2</v>
      </c>
    </row>
    <row r="27" spans="1:8" x14ac:dyDescent="0.25">
      <c r="D27" s="21">
        <f>E19*E25</f>
        <v>0.34228187674928517</v>
      </c>
      <c r="E27" s="21">
        <f>E20*E25</f>
        <v>0.24161073915368764</v>
      </c>
      <c r="F27" s="21">
        <f>E21*E25</f>
        <v>0.41610738409702736</v>
      </c>
    </row>
    <row r="28" spans="1:8" x14ac:dyDescent="0.25">
      <c r="D28" s="17"/>
      <c r="E28" s="22">
        <f>SUM(D27:F27)</f>
        <v>1.0000000000000002</v>
      </c>
      <c r="F28" s="17"/>
    </row>
    <row r="30" spans="1:8" ht="18.75" x14ac:dyDescent="0.35">
      <c r="A30" s="20" t="s">
        <v>46</v>
      </c>
      <c r="E30" t="s">
        <v>48</v>
      </c>
      <c r="G30" t="s">
        <v>49</v>
      </c>
    </row>
    <row r="31" spans="1:8" x14ac:dyDescent="0.25">
      <c r="A31" s="16" t="s">
        <v>47</v>
      </c>
      <c r="B31" s="16"/>
      <c r="C31" s="16"/>
      <c r="E31">
        <v>2.9717681691123158E-3</v>
      </c>
      <c r="G31" cm="1">
        <f t="array" ref="G31:G33">MMULT(A32:C34,E31:E33)</f>
        <v>1.0000000000000004</v>
      </c>
      <c r="H31">
        <v>1</v>
      </c>
    </row>
    <row r="32" spans="1:8" x14ac:dyDescent="0.25">
      <c r="A32">
        <v>2</v>
      </c>
      <c r="B32">
        <v>10</v>
      </c>
      <c r="C32">
        <v>8</v>
      </c>
      <c r="E32">
        <v>6.6121842872119502E-2</v>
      </c>
      <c r="G32">
        <v>0.99999999556251917</v>
      </c>
      <c r="H32">
        <v>1</v>
      </c>
    </row>
    <row r="33" spans="1:21" x14ac:dyDescent="0.25">
      <c r="A33">
        <v>7</v>
      </c>
      <c r="B33">
        <v>6</v>
      </c>
      <c r="C33">
        <v>14</v>
      </c>
      <c r="E33">
        <v>4.1604754367572577E-2</v>
      </c>
      <c r="G33">
        <v>1</v>
      </c>
      <c r="H33">
        <v>1</v>
      </c>
      <c r="R33" s="15"/>
      <c r="T33" s="14"/>
      <c r="U33" s="14"/>
    </row>
    <row r="34" spans="1:21" x14ac:dyDescent="0.25">
      <c r="A34">
        <v>16</v>
      </c>
      <c r="B34">
        <v>10</v>
      </c>
      <c r="C34">
        <v>7</v>
      </c>
      <c r="R34" s="15"/>
      <c r="T34" s="14"/>
      <c r="U34" s="14"/>
    </row>
    <row r="36" spans="1:21" x14ac:dyDescent="0.25">
      <c r="D36" t="s">
        <v>43</v>
      </c>
      <c r="E36">
        <f>SUM(E31:E33)</f>
        <v>0.1106983654088044</v>
      </c>
      <c r="F36" t="s">
        <v>50</v>
      </c>
      <c r="M36" s="15"/>
      <c r="N36" s="15"/>
      <c r="U36" s="15"/>
    </row>
    <row r="37" spans="1:21" x14ac:dyDescent="0.25">
      <c r="D37" t="s">
        <v>45</v>
      </c>
      <c r="E37">
        <f>1/E36</f>
        <v>9.0335570566651295</v>
      </c>
      <c r="M37" s="15"/>
      <c r="N37" s="15"/>
      <c r="U37" s="15"/>
    </row>
    <row r="38" spans="1:21" x14ac:dyDescent="0.25">
      <c r="D38" s="17" t="s">
        <v>4</v>
      </c>
      <c r="E38" s="17" t="s">
        <v>5</v>
      </c>
      <c r="F38" s="17" t="s">
        <v>9</v>
      </c>
      <c r="M38" s="15"/>
      <c r="N38" s="15"/>
      <c r="U38" s="15"/>
    </row>
    <row r="39" spans="1:21" x14ac:dyDescent="0.25">
      <c r="D39" s="21">
        <f>E31*E37</f>
        <v>2.6845637314857371E-2</v>
      </c>
      <c r="E39" s="21">
        <f>E32*E37</f>
        <v>0.59731544027713801</v>
      </c>
      <c r="F39" s="21">
        <f>E33*E37</f>
        <v>0.37583892240800465</v>
      </c>
      <c r="M39" s="15"/>
      <c r="N39" s="15"/>
    </row>
    <row r="40" spans="1:21" x14ac:dyDescent="0.25">
      <c r="D40" s="17"/>
      <c r="E40" s="21">
        <f>SUM(D39:F39)</f>
        <v>1</v>
      </c>
      <c r="F40" s="17"/>
      <c r="M40" s="15"/>
      <c r="N40" s="15"/>
    </row>
    <row r="42" spans="1:21" x14ac:dyDescent="0.25">
      <c r="I42" s="15"/>
      <c r="K42" s="15"/>
    </row>
    <row r="43" spans="1:21" x14ac:dyDescent="0.25">
      <c r="I43" s="15"/>
      <c r="K43" s="15"/>
    </row>
    <row r="44" spans="1:21" x14ac:dyDescent="0.25">
      <c r="I44" s="15"/>
      <c r="K44" s="15"/>
    </row>
    <row r="45" spans="1:21" x14ac:dyDescent="0.25">
      <c r="I45" s="15"/>
      <c r="K45" s="15"/>
    </row>
    <row r="46" spans="1:21" x14ac:dyDescent="0.25">
      <c r="I46" s="15"/>
      <c r="K46" s="15"/>
    </row>
  </sheetData>
  <mergeCells count="4">
    <mergeCell ref="A31:C31"/>
    <mergeCell ref="B12:D12"/>
    <mergeCell ref="F12:H12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Задача 1 (в4)</vt:lpstr>
      <vt:lpstr>Задача 2 (в4)</vt:lpstr>
      <vt:lpstr>Задача 3 (в4)</vt:lpstr>
      <vt:lpstr>Задача 4 (в4)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Антон Королёв</cp:lastModifiedBy>
  <dcterms:created xsi:type="dcterms:W3CDTF">2025-12-14T16:32:57Z</dcterms:created>
  <dcterms:modified xsi:type="dcterms:W3CDTF">2025-12-16T19:34:37Z</dcterms:modified>
</cp:coreProperties>
</file>