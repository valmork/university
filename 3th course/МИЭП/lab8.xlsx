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14225BD5-5FA7-9D40-A096-CA869C12233C}" xr6:coauthVersionLast="47" xr6:coauthVersionMax="47" xr10:uidLastSave="{00000000-0000-0000-0000-000000000000}"/>
  <bookViews>
    <workbookView xWindow="0" yWindow="680" windowWidth="29400" windowHeight="16880" activeTab="2" xr2:uid="{3381D3DF-D0FD-7A45-9B4C-1AF6F44ED1F4}"/>
  </bookViews>
  <sheets>
    <sheet name="Задача 1 (в4)" sheetId="1" r:id="rId1"/>
    <sheet name="Задача 2 (в4)" sheetId="2" r:id="rId2"/>
    <sheet name="Задача 3 (в4)" sheetId="3" r:id="rId3"/>
  </sheets>
  <definedNames>
    <definedName name="solver_adj" localSheetId="0" hidden="1">'Задача 1 (в4)'!$F$2:$F$3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'Задача 1 (в4)'!$F$2:$F$3</definedName>
    <definedName name="solver_lhs2" localSheetId="0" hidden="1">'Задача 1 (в4)'!$F$4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opt" localSheetId="0" hidden="1">'Задача 1 (в4)'!$H$6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2</definedName>
    <definedName name="solver_rhs1" localSheetId="0" hidden="1">0</definedName>
    <definedName name="solver_rhs2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3" l="1"/>
  <c r="M11" i="3"/>
  <c r="L11" i="3"/>
  <c r="O9" i="3"/>
  <c r="N10" i="3"/>
  <c r="N9" i="3"/>
  <c r="E6" i="2"/>
  <c r="C6" i="2"/>
  <c r="D6" i="2"/>
  <c r="B6" i="2"/>
  <c r="G2" i="2"/>
  <c r="F3" i="2"/>
  <c r="F4" i="2"/>
  <c r="F5" i="2"/>
  <c r="F2" i="2"/>
  <c r="H4" i="1"/>
  <c r="H5" i="1"/>
  <c r="H3" i="1"/>
  <c r="H2" i="1"/>
  <c r="C7" i="1"/>
  <c r="B7" i="1"/>
  <c r="F4" i="1"/>
  <c r="E6" i="1"/>
  <c r="B7" i="2" l="1"/>
  <c r="H6" i="1"/>
  <c r="D7" i="1"/>
</calcChain>
</file>

<file path=xl/sharedStrings.xml><?xml version="1.0" encoding="utf-8"?>
<sst xmlns="http://schemas.openxmlformats.org/spreadsheetml/2006/main" count="73" uniqueCount="25">
  <si>
    <t>A1</t>
  </si>
  <si>
    <t>A2</t>
  </si>
  <si>
    <t>A3</t>
  </si>
  <si>
    <t>A4</t>
  </si>
  <si>
    <t>B1</t>
  </si>
  <si>
    <t>B2</t>
  </si>
  <si>
    <t>p</t>
  </si>
  <si>
    <t>q</t>
  </si>
  <si>
    <t>Ожид. выигр. (игрок А)</t>
  </si>
  <si>
    <t>B3</t>
  </si>
  <si>
    <t>B4</t>
  </si>
  <si>
    <t>min</t>
  </si>
  <si>
    <t>maxmin</t>
  </si>
  <si>
    <t>max</t>
  </si>
  <si>
    <t>minmax</t>
  </si>
  <si>
    <t>Так как minmax = maxmin, то существует седловая точка (A1, B4)</t>
  </si>
  <si>
    <t>Поэтому оптимальная стратегия клиента - выбрать вклад A1, а оптимальная стратегия банка - назначить ставку B4 (12%)</t>
  </si>
  <si>
    <t>B5</t>
  </si>
  <si>
    <t>B5 &gt; B4</t>
  </si>
  <si>
    <t>B3 &gt; B2</t>
  </si>
  <si>
    <t>A2 &lt; A3</t>
  </si>
  <si>
    <t>A3 &gt; A1</t>
  </si>
  <si>
    <t>B1 &gt; B3</t>
  </si>
  <si>
    <t>Так как minmax = maxmin, то существует седловая точка (A3, B1)</t>
  </si>
  <si>
    <t>Оптимальные стратегии A3 и 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</si>
</sst>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charset val="204"/>
      <scheme val="minor"/>
    </font>
    <font>
      <sz val="12"/>
      <color rgb="FF000000"/>
      <name val="Aptos Narrow"/>
      <family val="2"/>
      <charset val="204"/>
      <scheme val="minor"/>
    </font>
    <font>
      <sz val="12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0" fontId="1" fillId="3" borderId="0" xfId="0" applyFont="1" applyFill="1"/>
    <xf numFmtId="0" fontId="1" fillId="4" borderId="0" xfId="0" applyFont="1" applyFill="1"/>
    <xf numFmtId="0" fontId="1" fillId="0" borderId="0" xfId="0" applyFont="1" applyFill="1"/>
    <xf numFmtId="0" fontId="2" fillId="2" borderId="0" xfId="0" applyFont="1" applyFill="1"/>
    <xf numFmtId="0" fontId="0" fillId="4" borderId="1" xfId="0" applyFill="1" applyBorder="1"/>
    <xf numFmtId="0" fontId="1" fillId="4" borderId="1" xfId="0" applyFont="1" applyFill="1" applyBorder="1"/>
    <xf numFmtId="0" fontId="0" fillId="0" borderId="0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8CF7-E692-1F45-BD2B-FB54BFD8BF6B}">
  <dimension ref="A1:H8"/>
  <sheetViews>
    <sheetView workbookViewId="0">
      <selection activeCell="H13" sqref="H13"/>
    </sheetView>
  </sheetViews>
  <sheetFormatPr baseColWidth="10" defaultRowHeight="16" x14ac:dyDescent="0.2"/>
  <cols>
    <col min="1" max="1" width="12.33203125" bestFit="1" customWidth="1"/>
  </cols>
  <sheetData>
    <row r="1" spans="1:8" x14ac:dyDescent="0.2">
      <c r="B1" t="s">
        <v>4</v>
      </c>
      <c r="C1" t="s">
        <v>5</v>
      </c>
      <c r="E1" t="s">
        <v>6</v>
      </c>
      <c r="F1" t="s">
        <v>7</v>
      </c>
    </row>
    <row r="2" spans="1:8" x14ac:dyDescent="0.2">
      <c r="A2" t="s">
        <v>0</v>
      </c>
      <c r="B2">
        <v>14</v>
      </c>
      <c r="C2">
        <v>12</v>
      </c>
      <c r="E2">
        <v>0.75000000946327894</v>
      </c>
      <c r="F2">
        <v>0.5</v>
      </c>
      <c r="H2">
        <f>B2*$F$2+C2*$F$3</f>
        <v>13</v>
      </c>
    </row>
    <row r="3" spans="1:8" x14ac:dyDescent="0.2">
      <c r="A3" t="s">
        <v>1</v>
      </c>
      <c r="B3">
        <v>13</v>
      </c>
      <c r="C3">
        <v>7</v>
      </c>
      <c r="E3">
        <v>0</v>
      </c>
      <c r="F3">
        <v>0.5</v>
      </c>
      <c r="H3">
        <f>B3*$F$2+C3*$F$3</f>
        <v>10</v>
      </c>
    </row>
    <row r="4" spans="1:8" x14ac:dyDescent="0.2">
      <c r="A4" t="s">
        <v>2</v>
      </c>
      <c r="B4">
        <v>10</v>
      </c>
      <c r="C4">
        <v>16</v>
      </c>
      <c r="E4">
        <v>0.24999999053672095</v>
      </c>
      <c r="F4">
        <f>SUM(F2:F3)</f>
        <v>1</v>
      </c>
      <c r="H4">
        <f>B4*$F$2+C4*$F$3</f>
        <v>13</v>
      </c>
    </row>
    <row r="5" spans="1:8" x14ac:dyDescent="0.2">
      <c r="A5" t="s">
        <v>3</v>
      </c>
      <c r="B5">
        <v>11</v>
      </c>
      <c r="C5">
        <v>14</v>
      </c>
      <c r="E5">
        <v>0</v>
      </c>
      <c r="H5">
        <f>B5*$F$2+C5*$F$3</f>
        <v>12.5</v>
      </c>
    </row>
    <row r="6" spans="1:8" x14ac:dyDescent="0.2">
      <c r="E6">
        <f>SUM(E2:E5)</f>
        <v>0.99999999999999989</v>
      </c>
      <c r="H6" s="1">
        <f>MAX(H2:H5)</f>
        <v>13</v>
      </c>
    </row>
    <row r="7" spans="1:8" ht="34" x14ac:dyDescent="0.2">
      <c r="A7" s="2" t="s">
        <v>8</v>
      </c>
      <c r="B7">
        <f>SUMPRODUCT(E2:E5,B2:B5)</f>
        <v>13.000000037853114</v>
      </c>
      <c r="C7">
        <f>SUMPRODUCT(E2:E5,C2:C5)</f>
        <v>12.999999962146882</v>
      </c>
      <c r="D7" s="1">
        <f>MIN(B7:C7)</f>
        <v>12.999999962146882</v>
      </c>
    </row>
    <row r="8" spans="1:8" x14ac:dyDescent="0.2">
      <c r="A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ACAE-3996-154B-9B89-62D52FA45CAF}">
  <dimension ref="A1:G9"/>
  <sheetViews>
    <sheetView workbookViewId="0">
      <selection activeCell="A9" sqref="A9"/>
    </sheetView>
  </sheetViews>
  <sheetFormatPr baseColWidth="10" defaultRowHeight="16" x14ac:dyDescent="0.2"/>
  <cols>
    <col min="1" max="1" width="10.1640625" customWidth="1"/>
  </cols>
  <sheetData>
    <row r="1" spans="1:7" x14ac:dyDescent="0.2">
      <c r="B1" t="s">
        <v>4</v>
      </c>
      <c r="C1" t="s">
        <v>5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2">
      <c r="A2" t="s">
        <v>0</v>
      </c>
      <c r="B2">
        <v>13</v>
      </c>
      <c r="C2">
        <v>15</v>
      </c>
      <c r="D2">
        <v>15</v>
      </c>
      <c r="E2">
        <v>12</v>
      </c>
      <c r="F2">
        <f>MIN(B2:E2)</f>
        <v>12</v>
      </c>
      <c r="G2" s="1">
        <f>MAX(F2:F5)</f>
        <v>12</v>
      </c>
    </row>
    <row r="3" spans="1:7" x14ac:dyDescent="0.2">
      <c r="A3" t="s">
        <v>1</v>
      </c>
      <c r="B3">
        <v>11</v>
      </c>
      <c r="C3">
        <v>10</v>
      </c>
      <c r="D3">
        <v>14</v>
      </c>
      <c r="E3">
        <v>7</v>
      </c>
      <c r="F3">
        <f t="shared" ref="F3:F5" si="0">MIN(B3:E3)</f>
        <v>7</v>
      </c>
    </row>
    <row r="4" spans="1:7" x14ac:dyDescent="0.2">
      <c r="A4" t="s">
        <v>2</v>
      </c>
      <c r="B4">
        <v>7</v>
      </c>
      <c r="C4">
        <v>15</v>
      </c>
      <c r="D4">
        <v>8</v>
      </c>
      <c r="E4">
        <v>10</v>
      </c>
      <c r="F4">
        <f t="shared" si="0"/>
        <v>7</v>
      </c>
    </row>
    <row r="5" spans="1:7" x14ac:dyDescent="0.2">
      <c r="A5" t="s">
        <v>3</v>
      </c>
      <c r="B5">
        <v>7</v>
      </c>
      <c r="C5">
        <v>11</v>
      </c>
      <c r="D5">
        <v>11</v>
      </c>
      <c r="E5">
        <v>12</v>
      </c>
      <c r="F5">
        <f t="shared" si="0"/>
        <v>7</v>
      </c>
    </row>
    <row r="6" spans="1:7" x14ac:dyDescent="0.2">
      <c r="A6" t="s">
        <v>13</v>
      </c>
      <c r="B6">
        <f>MAX(B2:B5)</f>
        <v>13</v>
      </c>
      <c r="C6">
        <f t="shared" ref="C6:F6" si="1">MAX(C2:C5)</f>
        <v>15</v>
      </c>
      <c r="D6">
        <f t="shared" si="1"/>
        <v>15</v>
      </c>
      <c r="E6">
        <f>MAX(E2:E5)</f>
        <v>12</v>
      </c>
    </row>
    <row r="7" spans="1:7" x14ac:dyDescent="0.2">
      <c r="A7" t="s">
        <v>14</v>
      </c>
      <c r="B7" s="1">
        <f>MIN(B6:F6)</f>
        <v>12</v>
      </c>
    </row>
    <row r="8" spans="1:7" x14ac:dyDescent="0.2">
      <c r="A8" t="s">
        <v>15</v>
      </c>
    </row>
    <row r="9" spans="1:7" x14ac:dyDescent="0.2">
      <c r="A9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3ED9-ECB0-A148-880D-C460266E0B9C}">
  <dimension ref="A1:R15"/>
  <sheetViews>
    <sheetView tabSelected="1" workbookViewId="0">
      <selection activeCell="J23" sqref="J23"/>
    </sheetView>
  </sheetViews>
  <sheetFormatPr baseColWidth="10" defaultRowHeight="16" x14ac:dyDescent="0.2"/>
  <sheetData>
    <row r="1" spans="1:18" x14ac:dyDescent="0.2">
      <c r="B1" t="s">
        <v>4</v>
      </c>
      <c r="C1" t="s">
        <v>5</v>
      </c>
      <c r="D1" t="s">
        <v>9</v>
      </c>
      <c r="E1" t="s">
        <v>10</v>
      </c>
      <c r="F1" t="s">
        <v>17</v>
      </c>
      <c r="I1" t="s">
        <v>4</v>
      </c>
      <c r="J1" t="s">
        <v>5</v>
      </c>
      <c r="K1" t="s">
        <v>9</v>
      </c>
      <c r="L1" t="s">
        <v>17</v>
      </c>
      <c r="O1" t="s">
        <v>4</v>
      </c>
      <c r="P1" t="s">
        <v>9</v>
      </c>
      <c r="Q1" t="s">
        <v>17</v>
      </c>
    </row>
    <row r="2" spans="1:18" x14ac:dyDescent="0.2">
      <c r="A2" t="s">
        <v>0</v>
      </c>
      <c r="B2">
        <v>5</v>
      </c>
      <c r="C2">
        <v>7</v>
      </c>
      <c r="D2">
        <v>7</v>
      </c>
      <c r="E2" s="5">
        <v>4</v>
      </c>
      <c r="F2" s="6">
        <v>6</v>
      </c>
      <c r="H2" t="s">
        <v>0</v>
      </c>
      <c r="I2" s="3">
        <v>5</v>
      </c>
      <c r="J2" s="7">
        <v>7</v>
      </c>
      <c r="K2" s="8">
        <v>7</v>
      </c>
      <c r="L2">
        <v>6</v>
      </c>
      <c r="N2" t="s">
        <v>0</v>
      </c>
      <c r="O2" s="3">
        <v>5</v>
      </c>
      <c r="P2" s="9">
        <v>7</v>
      </c>
      <c r="Q2">
        <v>6</v>
      </c>
    </row>
    <row r="3" spans="1:18" x14ac:dyDescent="0.2">
      <c r="A3" t="s">
        <v>1</v>
      </c>
      <c r="B3">
        <v>9</v>
      </c>
      <c r="C3">
        <v>3</v>
      </c>
      <c r="D3">
        <v>8</v>
      </c>
      <c r="E3" s="5">
        <v>3</v>
      </c>
      <c r="F3" s="6">
        <v>4</v>
      </c>
      <c r="G3" s="4" t="s">
        <v>18</v>
      </c>
      <c r="H3" t="s">
        <v>1</v>
      </c>
      <c r="I3" s="3">
        <v>9</v>
      </c>
      <c r="J3" s="7">
        <v>3</v>
      </c>
      <c r="K3" s="8">
        <v>8</v>
      </c>
      <c r="L3">
        <v>4</v>
      </c>
      <c r="M3" s="1" t="s">
        <v>19</v>
      </c>
      <c r="N3" t="s">
        <v>1</v>
      </c>
      <c r="O3" s="7">
        <v>9</v>
      </c>
      <c r="P3" s="7">
        <v>8</v>
      </c>
      <c r="Q3" s="5">
        <v>4</v>
      </c>
      <c r="R3" s="10" t="s">
        <v>20</v>
      </c>
    </row>
    <row r="4" spans="1:18" x14ac:dyDescent="0.2">
      <c r="A4" t="s">
        <v>2</v>
      </c>
      <c r="B4">
        <v>10</v>
      </c>
      <c r="C4">
        <v>1</v>
      </c>
      <c r="D4">
        <v>10</v>
      </c>
      <c r="E4" s="5">
        <v>7</v>
      </c>
      <c r="F4" s="6">
        <v>7</v>
      </c>
      <c r="H4" t="s">
        <v>2</v>
      </c>
      <c r="I4" s="3">
        <v>10</v>
      </c>
      <c r="J4" s="7">
        <v>1</v>
      </c>
      <c r="K4" s="8">
        <v>10</v>
      </c>
      <c r="L4">
        <v>7</v>
      </c>
      <c r="N4" t="s">
        <v>2</v>
      </c>
      <c r="O4" s="8">
        <v>10</v>
      </c>
      <c r="P4" s="8">
        <v>10</v>
      </c>
      <c r="Q4" s="6">
        <v>7</v>
      </c>
    </row>
    <row r="5" spans="1:18" x14ac:dyDescent="0.2">
      <c r="A5" t="s">
        <v>3</v>
      </c>
      <c r="B5">
        <v>6</v>
      </c>
      <c r="C5">
        <v>3</v>
      </c>
      <c r="D5">
        <v>4</v>
      </c>
      <c r="E5" s="5">
        <v>3</v>
      </c>
      <c r="F5" s="6">
        <v>5</v>
      </c>
      <c r="H5" t="s">
        <v>3</v>
      </c>
      <c r="I5" s="3">
        <v>6</v>
      </c>
      <c r="J5" s="7">
        <v>3</v>
      </c>
      <c r="K5" s="8">
        <v>4</v>
      </c>
      <c r="L5">
        <v>5</v>
      </c>
      <c r="N5" t="s">
        <v>3</v>
      </c>
      <c r="O5" s="3">
        <v>6</v>
      </c>
      <c r="P5" s="9">
        <v>4</v>
      </c>
      <c r="Q5">
        <v>5</v>
      </c>
    </row>
    <row r="8" spans="1:18" x14ac:dyDescent="0.2">
      <c r="A8" s="3"/>
      <c r="B8" s="3" t="s">
        <v>4</v>
      </c>
      <c r="C8" s="3" t="s">
        <v>9</v>
      </c>
      <c r="D8" s="3" t="s">
        <v>17</v>
      </c>
      <c r="G8" s="3" t="s">
        <v>4</v>
      </c>
      <c r="H8" s="3" t="s">
        <v>9</v>
      </c>
      <c r="I8" s="3" t="s">
        <v>17</v>
      </c>
      <c r="K8" s="11"/>
      <c r="L8" s="12" t="s">
        <v>4</v>
      </c>
      <c r="M8" s="12" t="s">
        <v>17</v>
      </c>
      <c r="N8" t="s">
        <v>11</v>
      </c>
      <c r="O8" t="s">
        <v>12</v>
      </c>
    </row>
    <row r="9" spans="1:18" x14ac:dyDescent="0.2">
      <c r="A9" s="3" t="s">
        <v>0</v>
      </c>
      <c r="B9" s="7">
        <v>5</v>
      </c>
      <c r="C9" s="7">
        <v>7</v>
      </c>
      <c r="D9" s="7">
        <v>6</v>
      </c>
      <c r="F9" s="3" t="s">
        <v>2</v>
      </c>
      <c r="G9" s="8">
        <v>10</v>
      </c>
      <c r="H9" s="7">
        <v>10</v>
      </c>
      <c r="I9" s="9">
        <v>7</v>
      </c>
      <c r="J9" s="1" t="s">
        <v>22</v>
      </c>
      <c r="K9" s="11" t="s">
        <v>2</v>
      </c>
      <c r="L9" s="11">
        <v>10</v>
      </c>
      <c r="M9" s="11">
        <v>7</v>
      </c>
      <c r="N9">
        <f>MIN(L9:M9)</f>
        <v>7</v>
      </c>
      <c r="O9" s="1">
        <f>MAX(N9:N10)</f>
        <v>7</v>
      </c>
    </row>
    <row r="10" spans="1:18" x14ac:dyDescent="0.2">
      <c r="A10" t="s">
        <v>2</v>
      </c>
      <c r="B10" s="8">
        <v>10</v>
      </c>
      <c r="C10" s="8">
        <v>10</v>
      </c>
      <c r="D10" s="6">
        <v>7</v>
      </c>
      <c r="E10" t="s">
        <v>21</v>
      </c>
      <c r="F10" s="3" t="s">
        <v>3</v>
      </c>
      <c r="G10" s="8">
        <v>6</v>
      </c>
      <c r="H10" s="7">
        <v>4</v>
      </c>
      <c r="I10" s="3">
        <v>5</v>
      </c>
      <c r="K10" s="11" t="s">
        <v>3</v>
      </c>
      <c r="L10" s="11">
        <v>6</v>
      </c>
      <c r="M10" s="11">
        <v>5</v>
      </c>
      <c r="N10">
        <f t="shared" ref="N10:N11" si="0">MIN(L10:M10)</f>
        <v>5</v>
      </c>
    </row>
    <row r="11" spans="1:18" x14ac:dyDescent="0.2">
      <c r="A11" t="s">
        <v>3</v>
      </c>
      <c r="B11" s="3">
        <v>6</v>
      </c>
      <c r="C11" s="9">
        <v>4</v>
      </c>
      <c r="D11">
        <v>5</v>
      </c>
      <c r="K11" t="s">
        <v>13</v>
      </c>
      <c r="L11">
        <f>MAX(L9:L10)</f>
        <v>10</v>
      </c>
      <c r="M11">
        <f>MAX(M9:M10)</f>
        <v>7</v>
      </c>
    </row>
    <row r="12" spans="1:18" x14ac:dyDescent="0.2">
      <c r="K12" s="13" t="s">
        <v>14</v>
      </c>
      <c r="L12" s="1">
        <f>MIN(L11:M11)</f>
        <v>7</v>
      </c>
    </row>
    <row r="14" spans="1:18" x14ac:dyDescent="0.2">
      <c r="K14" s="6" t="s">
        <v>23</v>
      </c>
      <c r="L14" s="6"/>
      <c r="M14" s="6"/>
      <c r="N14" s="6"/>
      <c r="O14" s="6"/>
    </row>
    <row r="15" spans="1:18" x14ac:dyDescent="0.2">
      <c r="K15" s="6" t="s">
        <v>24</v>
      </c>
      <c r="L15" s="6"/>
      <c r="M15" s="6"/>
      <c r="N15" s="6"/>
      <c r="O1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Задача 1 (в4)</vt:lpstr>
      <vt:lpstr>Задача 2 (в4)</vt:lpstr>
      <vt:lpstr>Задача 3 (в4)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2025-12-14T16:32:57Z</dcterms:created>
  <dcterms:modified xsi:type="dcterms:W3CDTF">2025-12-14T21:38:18Z</dcterms:modified>
</cp:coreProperties>
</file>