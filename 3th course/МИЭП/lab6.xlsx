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onkorolev/Documents/university/3th course/МИЭП/"/>
    </mc:Choice>
  </mc:AlternateContent>
  <xr:revisionPtr revIDLastSave="0" documentId="13_ncr:1_{45CD2282-865E-8740-A974-83B13D4E82CB}" xr6:coauthVersionLast="47" xr6:coauthVersionMax="47" xr10:uidLastSave="{00000000-0000-0000-0000-000000000000}"/>
  <bookViews>
    <workbookView xWindow="580" yWindow="680" windowWidth="28240" windowHeight="16880" xr2:uid="{5932BAD5-0A64-CD4E-AC2C-F9D4F8F1F54D}"/>
  </bookViews>
  <sheets>
    <sheet name="Лист1" sheetId="1" r:id="rId1"/>
  </sheets>
  <definedNames>
    <definedName name="solver_adj" localSheetId="0" hidden="1">Лист1!$I$6:$J$6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itr" localSheetId="0" hidden="1">2147483647</definedName>
    <definedName name="solver_lhs1" localSheetId="0" hidden="1">Лист1!$I$6:$J$6</definedName>
    <definedName name="solver_lhs2" localSheetId="0" hidden="1">Лист1!$K$10</definedName>
    <definedName name="solver_lhs3" localSheetId="0" hidden="1">Лист1!$K$11</definedName>
    <definedName name="solver_lhs4" localSheetId="0" hidden="1">Лист1!$K$9</definedName>
    <definedName name="solver_lin" localSheetId="0" hidden="1">1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4</definedName>
    <definedName name="solver_opt" localSheetId="0" hidden="1">Лист1!$K$13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1</definedName>
    <definedName name="solver_rel3" localSheetId="0" hidden="1">1</definedName>
    <definedName name="solver_rel4" localSheetId="0" hidden="1">1</definedName>
    <definedName name="solver_rhs1" localSheetId="0" hidden="1">0</definedName>
    <definedName name="solver_rhs2" localSheetId="0" hidden="1">400</definedName>
    <definedName name="solver_rhs3" localSheetId="0" hidden="1">600</definedName>
    <definedName name="solver_rhs4" localSheetId="0" hidden="1">1120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" l="1"/>
  <c r="K10" i="1"/>
  <c r="K11" i="1"/>
  <c r="K9" i="1"/>
  <c r="K13" i="1"/>
  <c r="L10" i="1"/>
  <c r="L9" i="1"/>
  <c r="B41" i="1"/>
  <c r="A40" i="1"/>
  <c r="A39" i="1"/>
  <c r="E32" i="1"/>
  <c r="E33" i="1"/>
  <c r="E34" i="1"/>
  <c r="D20" i="1"/>
  <c r="D17" i="1"/>
  <c r="D18" i="1"/>
  <c r="D16" i="1"/>
</calcChain>
</file>

<file path=xl/sharedStrings.xml><?xml version="1.0" encoding="utf-8"?>
<sst xmlns="http://schemas.openxmlformats.org/spreadsheetml/2006/main" count="67" uniqueCount="48">
  <si>
    <r>
      <t xml:space="preserve">X </t>
    </r>
    <r>
      <rPr>
        <vertAlign val="subscript"/>
        <sz val="12"/>
        <color theme="1"/>
        <rFont val="Aptos Narrow (Основной текст)"/>
        <charset val="204"/>
      </rPr>
      <t>2</t>
    </r>
    <r>
      <rPr>
        <sz val="12"/>
        <color theme="1"/>
        <rFont val="Aptos Narrow"/>
        <family val="2"/>
        <charset val="204"/>
        <scheme val="minor"/>
      </rPr>
      <t xml:space="preserve"> - количество тонн завтрака в месяц</t>
    </r>
  </si>
  <si>
    <r>
      <t xml:space="preserve">X </t>
    </r>
    <r>
      <rPr>
        <vertAlign val="subscript"/>
        <sz val="12"/>
        <color theme="1"/>
        <rFont val="Aptos Narrow (Основной текст)"/>
        <charset val="204"/>
      </rPr>
      <t>1</t>
    </r>
    <r>
      <rPr>
        <sz val="12"/>
        <color theme="1"/>
        <rFont val="Aptos Narrow"/>
        <family val="2"/>
        <charset val="204"/>
        <scheme val="minor"/>
      </rPr>
      <t xml:space="preserve"> - количество тонн завтрака в месяц</t>
    </r>
  </si>
  <si>
    <r>
      <t xml:space="preserve">75X </t>
    </r>
    <r>
      <rPr>
        <vertAlign val="subscript"/>
        <sz val="12"/>
        <color theme="1"/>
        <rFont val="Aptos Narrow (Основной текст)"/>
        <charset val="204"/>
      </rPr>
      <t>1</t>
    </r>
    <r>
      <rPr>
        <sz val="12"/>
        <color theme="1"/>
        <rFont val="Aptos Narrow"/>
        <family val="2"/>
        <charset val="204"/>
        <scheme val="minor"/>
      </rPr>
      <t xml:space="preserve"> + 150X </t>
    </r>
    <r>
      <rPr>
        <vertAlign val="subscript"/>
        <sz val="12"/>
        <color theme="1"/>
        <rFont val="Aptos Narrow (Основной текст)"/>
        <charset val="204"/>
      </rPr>
      <t xml:space="preserve">2 </t>
    </r>
    <r>
      <rPr>
        <sz val="12"/>
        <color theme="1"/>
        <rFont val="Aptos Narrow (Основной текст)"/>
        <charset val="204"/>
      </rPr>
      <t>-&gt; max</t>
    </r>
  </si>
  <si>
    <t>Целевая функция</t>
  </si>
  <si>
    <t>Ограничения</t>
  </si>
  <si>
    <t>4 * X1 + 10* X2 &lt;= 1000</t>
  </si>
  <si>
    <t>2 * X1 + 3 * X2 &lt;= 360</t>
  </si>
  <si>
    <t>5 * X1 + 2 * X2 &lt;= 600</t>
  </si>
  <si>
    <t>X1 &gt;= 0, X2 &gt;= 0</t>
  </si>
  <si>
    <t>Продукт</t>
  </si>
  <si>
    <t>Завтрак</t>
  </si>
  <si>
    <t>Обед</t>
  </si>
  <si>
    <t>Выпуск</t>
  </si>
  <si>
    <t>Доход / тонн</t>
  </si>
  <si>
    <t>Количество, тонн</t>
  </si>
  <si>
    <t>Цех</t>
  </si>
  <si>
    <t>Расход на тонну</t>
  </si>
  <si>
    <t>Использовано</t>
  </si>
  <si>
    <t>Лимит</t>
  </si>
  <si>
    <t>Цех 1</t>
  </si>
  <si>
    <t>Цех 2</t>
  </si>
  <si>
    <t>Цех 3</t>
  </si>
  <si>
    <t>Доход</t>
  </si>
  <si>
    <t>Двойственная задача</t>
  </si>
  <si>
    <t>Переменные y1,y2,y3​ — двойственные оценки (теневые цены) для фондов времени цехов 1, 2, 3.</t>
  </si>
  <si>
    <t>1000 * y1 + 360 * y2 + 600 * y3 -&gt; min</t>
  </si>
  <si>
    <t>4 * y1 + 2 * y2 + 5 * y3 &gt;= 75</t>
  </si>
  <si>
    <t>10 * y1 + 3 * y2 + 2 * y3 &gt;= 150</t>
  </si>
  <si>
    <t>y1, y2, y3 &gt;= 0</t>
  </si>
  <si>
    <t>Исходная задача</t>
  </si>
  <si>
    <t>Двойственные переменные</t>
  </si>
  <si>
    <t>y1 (Цех 1)</t>
  </si>
  <si>
    <t>y2 (Цех 2)</t>
  </si>
  <si>
    <t>y3 (Цех 3)</t>
  </si>
  <si>
    <t>Ограничения дв. задачи</t>
  </si>
  <si>
    <t>Для завтрака</t>
  </si>
  <si>
    <t>Для обеда</t>
  </si>
  <si>
    <t>Значение</t>
  </si>
  <si>
    <t>&gt;=</t>
  </si>
  <si>
    <t>Цех 1 и цех 2 являются дефицитными ресурсами(используются полностью, теневая цена &gt; 0)</t>
  </si>
  <si>
    <t>Цех 3 является недифицитным ресурсом(не используется полностью, теневая цена = 0)</t>
  </si>
  <si>
    <t>При увеличении рабочего времени на 120 часов в цехе производства месячный доход увеличится на 1125</t>
  </si>
  <si>
    <t>При увеличении рабочего времени на 40 часов в цехе добавки приправ месячный доход увеличится на 750</t>
  </si>
  <si>
    <t>Общее увеличение дохода</t>
  </si>
  <si>
    <t>Новый план при увеличении часов</t>
  </si>
  <si>
    <t>Проверим условие оптимальности для ужина(через двойственные оценки)</t>
  </si>
  <si>
    <t>Прибыльность = доход - затраты в теневых ценах</t>
  </si>
  <si>
    <t>Прибыльность отрицательная, значит производство ужина невыгодно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</si>
</sst>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charset val="204"/>
      <scheme val="minor"/>
    </font>
    <font>
      <vertAlign val="subscript"/>
      <sz val="12"/>
      <color theme="1"/>
      <name val="Aptos Narrow (Основной текст)"/>
      <charset val="204"/>
    </font>
    <font>
      <sz val="12"/>
      <color theme="1"/>
      <name val="Aptos Narrow (Основной текст)"/>
      <charset val="204"/>
    </font>
    <font>
      <sz val="12"/>
      <color rgb="FF0F1115"/>
      <name val="Aptos Narrow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3" fillId="0" borderId="0" xfId="0" applyFont="1"/>
    <xf numFmtId="0" fontId="4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A31B9-CE58-9247-88C5-619A0720D00A}">
  <dimension ref="A1:L41"/>
  <sheetViews>
    <sheetView tabSelected="1" workbookViewId="0">
      <selection activeCell="H20" sqref="H20"/>
    </sheetView>
  </sheetViews>
  <sheetFormatPr baseColWidth="10" defaultRowHeight="16" x14ac:dyDescent="0.2"/>
  <cols>
    <col min="1" max="1" width="23.1640625" customWidth="1"/>
    <col min="2" max="3" width="14.5" bestFit="1" customWidth="1"/>
    <col min="4" max="4" width="13.1640625" bestFit="1" customWidth="1"/>
    <col min="8" max="8" width="14.83203125" customWidth="1"/>
    <col min="9" max="10" width="14.5" bestFit="1" customWidth="1"/>
    <col min="11" max="11" width="13.1640625" bestFit="1" customWidth="1"/>
  </cols>
  <sheetData>
    <row r="1" spans="1:12" ht="18" x14ac:dyDescent="0.25">
      <c r="A1" t="s">
        <v>1</v>
      </c>
    </row>
    <row r="2" spans="1:12" ht="18" x14ac:dyDescent="0.25">
      <c r="A2" t="s">
        <v>0</v>
      </c>
    </row>
    <row r="3" spans="1:12" x14ac:dyDescent="0.2">
      <c r="A3" t="s">
        <v>3</v>
      </c>
      <c r="H3" s="3" t="s">
        <v>44</v>
      </c>
    </row>
    <row r="4" spans="1:12" ht="18" x14ac:dyDescent="0.25">
      <c r="A4" t="s">
        <v>2</v>
      </c>
    </row>
    <row r="5" spans="1:12" x14ac:dyDescent="0.2">
      <c r="A5" s="3" t="s">
        <v>29</v>
      </c>
      <c r="H5" t="s">
        <v>9</v>
      </c>
      <c r="I5" t="s">
        <v>10</v>
      </c>
      <c r="J5" t="s">
        <v>11</v>
      </c>
      <c r="K5" t="s">
        <v>12</v>
      </c>
      <c r="L5" t="s">
        <v>13</v>
      </c>
    </row>
    <row r="6" spans="1:12" x14ac:dyDescent="0.2">
      <c r="A6" t="s">
        <v>4</v>
      </c>
      <c r="H6" t="s">
        <v>14</v>
      </c>
      <c r="I6">
        <v>80</v>
      </c>
      <c r="J6">
        <v>80</v>
      </c>
    </row>
    <row r="7" spans="1:12" x14ac:dyDescent="0.2">
      <c r="A7" t="s">
        <v>5</v>
      </c>
    </row>
    <row r="8" spans="1:12" x14ac:dyDescent="0.2">
      <c r="A8" t="s">
        <v>6</v>
      </c>
      <c r="H8" t="s">
        <v>15</v>
      </c>
      <c r="I8" t="s">
        <v>16</v>
      </c>
      <c r="J8" t="s">
        <v>16</v>
      </c>
      <c r="K8" t="s">
        <v>17</v>
      </c>
      <c r="L8" t="s">
        <v>18</v>
      </c>
    </row>
    <row r="9" spans="1:12" x14ac:dyDescent="0.2">
      <c r="A9" t="s">
        <v>7</v>
      </c>
      <c r="H9" t="s">
        <v>19</v>
      </c>
      <c r="I9">
        <v>4</v>
      </c>
      <c r="J9">
        <v>10</v>
      </c>
      <c r="K9">
        <f>I9*$I$6 + J9*$J$6</f>
        <v>1120</v>
      </c>
      <c r="L9">
        <f>E16+120</f>
        <v>1120</v>
      </c>
    </row>
    <row r="10" spans="1:12" x14ac:dyDescent="0.2">
      <c r="A10" t="s">
        <v>8</v>
      </c>
      <c r="H10" t="s">
        <v>20</v>
      </c>
      <c r="I10">
        <v>2</v>
      </c>
      <c r="J10">
        <v>3</v>
      </c>
      <c r="K10">
        <f t="shared" ref="K10:K11" si="0">I10*$I$6 + J10*$J$6</f>
        <v>400</v>
      </c>
      <c r="L10">
        <f>E17+40</f>
        <v>400</v>
      </c>
    </row>
    <row r="11" spans="1:12" x14ac:dyDescent="0.2">
      <c r="H11" t="s">
        <v>21</v>
      </c>
      <c r="I11">
        <v>5</v>
      </c>
      <c r="J11">
        <v>2</v>
      </c>
      <c r="K11">
        <f t="shared" si="0"/>
        <v>560</v>
      </c>
      <c r="L11">
        <v>600</v>
      </c>
    </row>
    <row r="12" spans="1:12" x14ac:dyDescent="0.2">
      <c r="A12" t="s">
        <v>9</v>
      </c>
      <c r="B12" t="s">
        <v>10</v>
      </c>
      <c r="C12" t="s">
        <v>11</v>
      </c>
      <c r="D12" t="s">
        <v>12</v>
      </c>
      <c r="E12" t="s">
        <v>13</v>
      </c>
    </row>
    <row r="13" spans="1:12" x14ac:dyDescent="0.2">
      <c r="A13" t="s">
        <v>14</v>
      </c>
      <c r="B13">
        <v>75</v>
      </c>
      <c r="C13">
        <v>70</v>
      </c>
      <c r="H13" t="s">
        <v>22</v>
      </c>
      <c r="K13" s="1">
        <f>75*I6+ 150*J6</f>
        <v>18000</v>
      </c>
    </row>
    <row r="15" spans="1:12" x14ac:dyDescent="0.2">
      <c r="A15" t="s">
        <v>15</v>
      </c>
      <c r="B15" t="s">
        <v>16</v>
      </c>
      <c r="C15" t="s">
        <v>16</v>
      </c>
      <c r="D15" t="s">
        <v>17</v>
      </c>
      <c r="E15" t="s">
        <v>18</v>
      </c>
    </row>
    <row r="16" spans="1:12" x14ac:dyDescent="0.2">
      <c r="A16" t="s">
        <v>19</v>
      </c>
      <c r="B16">
        <v>4</v>
      </c>
      <c r="C16">
        <v>10</v>
      </c>
      <c r="D16">
        <f>B16*$B$13 + C16*$C$13</f>
        <v>1000</v>
      </c>
      <c r="E16">
        <v>1000</v>
      </c>
    </row>
    <row r="17" spans="1:8" x14ac:dyDescent="0.2">
      <c r="A17" t="s">
        <v>20</v>
      </c>
      <c r="B17">
        <v>2</v>
      </c>
      <c r="C17">
        <v>3</v>
      </c>
      <c r="D17">
        <f t="shared" ref="D17:D18" si="1">B17*$B$13 + C17*$C$13</f>
        <v>360</v>
      </c>
      <c r="E17">
        <v>360</v>
      </c>
      <c r="H17" t="s">
        <v>45</v>
      </c>
    </row>
    <row r="18" spans="1:8" x14ac:dyDescent="0.2">
      <c r="A18" t="s">
        <v>21</v>
      </c>
      <c r="B18">
        <v>5</v>
      </c>
      <c r="C18">
        <v>2</v>
      </c>
      <c r="D18">
        <f t="shared" si="1"/>
        <v>515</v>
      </c>
      <c r="E18">
        <v>600</v>
      </c>
      <c r="H18" t="s">
        <v>46</v>
      </c>
    </row>
    <row r="19" spans="1:8" x14ac:dyDescent="0.2">
      <c r="H19">
        <f>60-(3*B30 + 3*C30+2*D30)</f>
        <v>-24.375</v>
      </c>
    </row>
    <row r="20" spans="1:8" x14ac:dyDescent="0.2">
      <c r="A20" t="s">
        <v>22</v>
      </c>
      <c r="D20" s="1">
        <f>75*B13+ 150*C13</f>
        <v>16125</v>
      </c>
      <c r="H20" t="s">
        <v>47</v>
      </c>
    </row>
    <row r="22" spans="1:8" x14ac:dyDescent="0.2">
      <c r="A22" s="3" t="s">
        <v>23</v>
      </c>
    </row>
    <row r="23" spans="1:8" x14ac:dyDescent="0.2">
      <c r="A23" s="2" t="s">
        <v>24</v>
      </c>
    </row>
    <row r="24" spans="1:8" x14ac:dyDescent="0.2">
      <c r="A24" t="s">
        <v>25</v>
      </c>
    </row>
    <row r="25" spans="1:8" x14ac:dyDescent="0.2">
      <c r="A25" t="s">
        <v>26</v>
      </c>
    </row>
    <row r="26" spans="1:8" x14ac:dyDescent="0.2">
      <c r="A26" t="s">
        <v>27</v>
      </c>
    </row>
    <row r="27" spans="1:8" x14ac:dyDescent="0.2">
      <c r="A27" t="s">
        <v>28</v>
      </c>
    </row>
    <row r="29" spans="1:8" x14ac:dyDescent="0.2">
      <c r="A29" t="s">
        <v>30</v>
      </c>
      <c r="B29" t="s">
        <v>31</v>
      </c>
      <c r="C29" t="s">
        <v>32</v>
      </c>
      <c r="D29" t="s">
        <v>33</v>
      </c>
    </row>
    <row r="30" spans="1:8" x14ac:dyDescent="0.2">
      <c r="B30">
        <v>9.3749999999999982</v>
      </c>
      <c r="C30">
        <v>18.75</v>
      </c>
      <c r="D30">
        <v>0</v>
      </c>
    </row>
    <row r="31" spans="1:8" x14ac:dyDescent="0.2">
      <c r="A31" t="s">
        <v>34</v>
      </c>
      <c r="E31" t="s">
        <v>37</v>
      </c>
      <c r="F31" t="s">
        <v>18</v>
      </c>
    </row>
    <row r="32" spans="1:8" x14ac:dyDescent="0.2">
      <c r="A32" t="s">
        <v>35</v>
      </c>
      <c r="B32">
        <v>4</v>
      </c>
      <c r="C32">
        <v>2</v>
      </c>
      <c r="D32">
        <v>5</v>
      </c>
      <c r="E32">
        <f>B32*$B$30 + C32*$C$30+D32*$D$30</f>
        <v>75</v>
      </c>
      <c r="F32">
        <v>75</v>
      </c>
      <c r="G32" t="s">
        <v>38</v>
      </c>
    </row>
    <row r="33" spans="1:7" x14ac:dyDescent="0.2">
      <c r="A33" t="s">
        <v>36</v>
      </c>
      <c r="B33">
        <v>10</v>
      </c>
      <c r="C33">
        <v>3</v>
      </c>
      <c r="D33">
        <v>2</v>
      </c>
      <c r="E33">
        <f>B33*$B$30 + C33*$C$30+D33*$D$30</f>
        <v>150</v>
      </c>
      <c r="F33">
        <v>150</v>
      </c>
      <c r="G33" t="s">
        <v>38</v>
      </c>
    </row>
    <row r="34" spans="1:7" x14ac:dyDescent="0.2">
      <c r="A34" t="s">
        <v>3</v>
      </c>
      <c r="E34" s="1">
        <f>1000*B30+360*C30+600*D30</f>
        <v>16124.999999999998</v>
      </c>
    </row>
    <row r="36" spans="1:7" x14ac:dyDescent="0.2">
      <c r="A36" t="s">
        <v>39</v>
      </c>
    </row>
    <row r="37" spans="1:7" x14ac:dyDescent="0.2">
      <c r="A37" t="s">
        <v>40</v>
      </c>
    </row>
    <row r="39" spans="1:7" x14ac:dyDescent="0.2">
      <c r="A39">
        <f>120*B30</f>
        <v>1124.9999999999998</v>
      </c>
      <c r="B39" t="s">
        <v>41</v>
      </c>
    </row>
    <row r="40" spans="1:7" x14ac:dyDescent="0.2">
      <c r="A40">
        <f>40*C30</f>
        <v>750</v>
      </c>
      <c r="B40" t="s">
        <v>42</v>
      </c>
    </row>
    <row r="41" spans="1:7" x14ac:dyDescent="0.2">
      <c r="A41" t="s">
        <v>43</v>
      </c>
      <c r="B41">
        <f>A39+A40</f>
        <v>1874.9999999999998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e314</dc:creator>
  <cp:lastModifiedBy>e314</cp:lastModifiedBy>
  <dcterms:created xsi:type="dcterms:W3CDTF">2025-12-12T18:09:34Z</dcterms:created>
  <dcterms:modified xsi:type="dcterms:W3CDTF">2025-12-13T07:50:11Z</dcterms:modified>
</cp:coreProperties>
</file>