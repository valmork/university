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korolev/Downloads/"/>
    </mc:Choice>
  </mc:AlternateContent>
  <xr:revisionPtr revIDLastSave="0" documentId="13_ncr:1_{0EEB3561-8BF9-BA4F-BC02-6CC380D75A37}" xr6:coauthVersionLast="47" xr6:coauthVersionMax="47" xr10:uidLastSave="{00000000-0000-0000-0000-000000000000}"/>
  <bookViews>
    <workbookView xWindow="0" yWindow="660" windowWidth="29400" windowHeight="18460" xr2:uid="{0440A8C9-19E8-430F-A5C7-BB1170DF5A19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1" l="1" a="1"/>
  <c r="J27" i="1" s="1"/>
  <c r="J21" i="1" a="1"/>
  <c r="M24" i="1" s="1"/>
  <c r="I19" i="2" a="1"/>
  <c r="L22" i="2" s="1"/>
  <c r="I14" i="2"/>
  <c r="J14" i="2"/>
  <c r="K14" i="2"/>
  <c r="L14" i="2"/>
  <c r="I15" i="2"/>
  <c r="J15" i="2"/>
  <c r="K15" i="2"/>
  <c r="L15" i="2"/>
  <c r="I16" i="2"/>
  <c r="J16" i="2"/>
  <c r="K16" i="2"/>
  <c r="L16" i="2"/>
  <c r="J13" i="2"/>
  <c r="K13" i="2"/>
  <c r="L13" i="2"/>
  <c r="I13" i="2"/>
  <c r="G14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J19" i="1"/>
  <c r="K19" i="1"/>
  <c r="L19" i="1"/>
  <c r="M19" i="1"/>
  <c r="N19" i="1"/>
  <c r="K15" i="1"/>
  <c r="L15" i="1"/>
  <c r="M15" i="1"/>
  <c r="N15" i="1"/>
  <c r="J15" i="1"/>
  <c r="M22" i="1" l="1"/>
  <c r="L24" i="1"/>
  <c r="L22" i="1"/>
  <c r="K24" i="1"/>
  <c r="K22" i="1"/>
  <c r="J24" i="1"/>
  <c r="J22" i="1"/>
  <c r="M23" i="1"/>
  <c r="M21" i="1"/>
  <c r="L23" i="1"/>
  <c r="L21" i="1"/>
  <c r="K23" i="1"/>
  <c r="K21" i="1"/>
  <c r="J23" i="1"/>
  <c r="J21" i="1"/>
  <c r="I21" i="2"/>
  <c r="J19" i="2"/>
  <c r="J21" i="2"/>
  <c r="K19" i="2"/>
  <c r="K21" i="2"/>
  <c r="L19" i="2"/>
  <c r="L21" i="2"/>
  <c r="I20" i="2"/>
  <c r="I22" i="2"/>
  <c r="J20" i="2"/>
  <c r="J22" i="2"/>
  <c r="K20" i="2"/>
  <c r="K22" i="2"/>
  <c r="I19" i="2"/>
  <c r="L20" i="2"/>
  <c r="D10" i="1" l="1"/>
  <c r="C11" i="1"/>
  <c r="C9" i="1"/>
  <c r="D11" i="1"/>
  <c r="B11" i="1"/>
  <c r="B10" i="1"/>
  <c r="C10" i="1"/>
  <c r="B12" i="1"/>
  <c r="B9" i="1"/>
  <c r="B14" i="1" s="1"/>
  <c r="C12" i="1"/>
  <c r="D9" i="1"/>
  <c r="D12" i="1"/>
  <c r="A9" i="1"/>
  <c r="A11" i="1"/>
  <c r="A10" i="1"/>
  <c r="A12" i="1"/>
  <c r="E14" i="1" l="1"/>
  <c r="D14" i="1"/>
  <c r="F12" i="1"/>
  <c r="H12" i="1" s="1"/>
  <c r="F10" i="1"/>
  <c r="H10" i="1" s="1"/>
  <c r="C14" i="1"/>
  <c r="F13" i="1"/>
  <c r="E16" i="1" s="1"/>
  <c r="E15" i="1" s="1"/>
  <c r="F11" i="1"/>
  <c r="H11" i="1" s="1"/>
  <c r="F9" i="1"/>
  <c r="A14" i="1"/>
  <c r="D16" i="1" l="1"/>
  <c r="D15" i="1" s="1"/>
  <c r="C16" i="1"/>
  <c r="C15" i="1" s="1"/>
  <c r="H13" i="1"/>
  <c r="B16" i="1"/>
  <c r="B15" i="1" s="1"/>
  <c r="F14" i="1"/>
  <c r="A16" i="1"/>
  <c r="H9" i="1"/>
  <c r="H14" i="1" s="1"/>
  <c r="F16" i="1" l="1"/>
  <c r="A15" i="1"/>
  <c r="F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<sst xmlns="http://schemas.openxmlformats.org/spreadsheetml/2006/main" count="22" uniqueCount="16">
  <si>
    <t>Отрасли</t>
  </si>
  <si>
    <t>МАТРИЦА А</t>
  </si>
  <si>
    <t>МАТРИЦА Е</t>
  </si>
  <si>
    <t>E - A</t>
  </si>
  <si>
    <t>МАТРИЦА B</t>
  </si>
  <si>
    <t>МАТРИЦА X</t>
  </si>
  <si>
    <t>МАТРИЦА Y</t>
  </si>
  <si>
    <t>машиностроение</t>
  </si>
  <si>
    <t>приборостроение</t>
  </si>
  <si>
    <t>радиоэлектроника</t>
  </si>
  <si>
    <t>прочие отрасли</t>
  </si>
  <si>
    <t>маш – ние</t>
  </si>
  <si>
    <t>приб – ние</t>
  </si>
  <si>
    <t>рад-ка</t>
  </si>
  <si>
    <t>прочие</t>
  </si>
  <si>
    <t>Конеч прод.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</si>
</sst>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0" xfId="0" applyFill="1"/>
    <xf numFmtId="0" fontId="0" fillId="3" borderId="0" xfId="0" applyFill="1"/>
    <xf numFmtId="0" fontId="0" fillId="2" borderId="3" xfId="0" applyFill="1" applyBorder="1"/>
    <xf numFmtId="164" fontId="0" fillId="0" borderId="0" xfId="0" applyNumberFormat="1"/>
    <xf numFmtId="0" fontId="0" fillId="0" borderId="2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9EC1-5C2A-4485-B50F-803A83CBD5FB}">
  <dimension ref="A1:P31"/>
  <sheetViews>
    <sheetView tabSelected="1" zoomScale="132" workbookViewId="0">
      <selection activeCell="H9" sqref="H9"/>
    </sheetView>
  </sheetViews>
  <sheetFormatPr baseColWidth="10" defaultColWidth="8.83203125" defaultRowHeight="15" x14ac:dyDescent="0.2"/>
  <cols>
    <col min="1" max="1" width="8.33203125" bestFit="1" customWidth="1"/>
    <col min="2" max="2" width="10" bestFit="1" customWidth="1"/>
    <col min="3" max="5" width="9" bestFit="1" customWidth="1"/>
    <col min="6" max="6" width="12.1640625" bestFit="1" customWidth="1"/>
    <col min="7" max="7" width="19.33203125" bestFit="1" customWidth="1"/>
    <col min="8" max="8" width="9.1640625" bestFit="1" customWidth="1"/>
    <col min="9" max="9" width="11.1640625" bestFit="1" customWidth="1"/>
    <col min="10" max="14" width="9" bestFit="1" customWidth="1"/>
    <col min="16" max="16" width="9" bestFit="1" customWidth="1"/>
  </cols>
  <sheetData>
    <row r="1" spans="1:16" ht="14.5" customHeight="1" x14ac:dyDescent="0.2">
      <c r="A1" s="2">
        <v>0.24</v>
      </c>
      <c r="B1" s="2">
        <v>0.13</v>
      </c>
      <c r="C1" s="2">
        <v>0.09</v>
      </c>
      <c r="D1" s="2">
        <v>0.21</v>
      </c>
      <c r="E1" s="1">
        <v>32900</v>
      </c>
      <c r="F1" s="10"/>
      <c r="G1" s="10"/>
      <c r="I1" s="7" t="s">
        <v>1</v>
      </c>
      <c r="J1" s="2">
        <v>0.24</v>
      </c>
      <c r="K1" s="2">
        <v>0.13</v>
      </c>
      <c r="L1" s="2">
        <v>0.09</v>
      </c>
      <c r="M1" s="2">
        <v>0.21</v>
      </c>
      <c r="N1" s="2"/>
      <c r="O1" s="9" t="s">
        <v>6</v>
      </c>
      <c r="P1" s="1">
        <v>32900</v>
      </c>
    </row>
    <row r="2" spans="1:16" x14ac:dyDescent="0.2">
      <c r="A2" s="2">
        <v>0.19</v>
      </c>
      <c r="B2" s="2">
        <v>0.18</v>
      </c>
      <c r="C2" s="2">
        <v>0.11</v>
      </c>
      <c r="D2" s="2">
        <v>0.12</v>
      </c>
      <c r="E2" s="1">
        <v>28990</v>
      </c>
      <c r="F2" s="10"/>
      <c r="G2" s="10"/>
      <c r="I2" s="7"/>
      <c r="J2" s="2">
        <v>0.19</v>
      </c>
      <c r="K2" s="2">
        <v>0.18</v>
      </c>
      <c r="L2" s="2">
        <v>0.11</v>
      </c>
      <c r="M2" s="2">
        <v>0.12</v>
      </c>
      <c r="N2" s="2"/>
      <c r="O2" s="9"/>
      <c r="P2" s="1">
        <v>28990</v>
      </c>
    </row>
    <row r="3" spans="1:16" x14ac:dyDescent="0.2">
      <c r="A3" s="2">
        <v>0.14000000000000001</v>
      </c>
      <c r="B3" s="2">
        <v>0.26</v>
      </c>
      <c r="C3" s="2">
        <v>0.19</v>
      </c>
      <c r="D3" s="2">
        <v>0.18</v>
      </c>
      <c r="E3" s="1">
        <v>20000</v>
      </c>
      <c r="F3" s="10"/>
      <c r="G3" s="10"/>
      <c r="I3" s="7"/>
      <c r="J3" s="2">
        <v>0.14000000000000001</v>
      </c>
      <c r="K3" s="2">
        <v>0.26</v>
      </c>
      <c r="L3" s="2">
        <v>0.19</v>
      </c>
      <c r="M3" s="2">
        <v>0.18</v>
      </c>
      <c r="N3" s="2"/>
      <c r="O3" s="9"/>
      <c r="P3" s="1">
        <v>20000</v>
      </c>
    </row>
    <row r="4" spans="1:16" x14ac:dyDescent="0.2">
      <c r="A4" s="2">
        <v>0.18</v>
      </c>
      <c r="B4" s="2">
        <v>0.15</v>
      </c>
      <c r="C4" s="2">
        <v>0.21</v>
      </c>
      <c r="D4" s="2">
        <v>0.19</v>
      </c>
      <c r="E4" s="1">
        <v>48000</v>
      </c>
      <c r="F4" s="10"/>
      <c r="G4" s="10"/>
      <c r="I4" s="7"/>
      <c r="J4" s="2">
        <v>0.18</v>
      </c>
      <c r="K4" s="2">
        <v>0.15</v>
      </c>
      <c r="L4" s="2">
        <v>0.21</v>
      </c>
      <c r="M4" s="2">
        <v>0.19</v>
      </c>
      <c r="N4" s="2"/>
      <c r="O4" s="9"/>
      <c r="P4" s="1">
        <v>48000</v>
      </c>
    </row>
    <row r="5" spans="1:16" x14ac:dyDescent="0.2">
      <c r="A5" s="10"/>
      <c r="B5" s="10"/>
      <c r="C5" s="10"/>
      <c r="D5" s="10"/>
      <c r="E5" s="10"/>
      <c r="F5" s="10"/>
      <c r="G5" s="10"/>
      <c r="I5" s="7"/>
      <c r="J5" s="2"/>
      <c r="K5" s="2"/>
      <c r="L5" s="2"/>
      <c r="M5" s="2"/>
      <c r="N5" s="2"/>
      <c r="O5" s="9"/>
      <c r="P5" s="1"/>
    </row>
    <row r="6" spans="1:16" x14ac:dyDescent="0.2">
      <c r="A6" s="10"/>
      <c r="B6" s="10"/>
      <c r="C6" s="10"/>
      <c r="D6" s="10"/>
      <c r="E6" s="10"/>
      <c r="F6" s="10"/>
      <c r="G6" s="10"/>
    </row>
    <row r="7" spans="1:16" x14ac:dyDescent="0.2">
      <c r="A7" s="1"/>
      <c r="B7" s="1"/>
      <c r="C7" s="1"/>
      <c r="D7" s="1"/>
      <c r="E7" s="1"/>
      <c r="F7" s="1"/>
      <c r="G7" s="1"/>
    </row>
    <row r="8" spans="1:16" x14ac:dyDescent="0.2">
      <c r="I8" s="7" t="s">
        <v>2</v>
      </c>
      <c r="J8" s="2">
        <v>1</v>
      </c>
      <c r="K8" s="2">
        <v>0</v>
      </c>
      <c r="L8" s="2">
        <v>0</v>
      </c>
      <c r="M8" s="2">
        <v>0</v>
      </c>
      <c r="N8" s="2"/>
    </row>
    <row r="9" spans="1:16" x14ac:dyDescent="0.2">
      <c r="A9">
        <f>J1*$J$27</f>
        <v>25339.027747339318</v>
      </c>
      <c r="B9">
        <f>K1*$J$28</f>
        <v>11916.662058752205</v>
      </c>
      <c r="C9">
        <f>L1*$J$29</f>
        <v>9026.7031928178749</v>
      </c>
      <c r="D9">
        <f>M1*$J$30</f>
        <v>26396.889281671087</v>
      </c>
      <c r="F9" s="3">
        <f>SUM(A9:E9)</f>
        <v>72679.28228058049</v>
      </c>
      <c r="G9" s="1">
        <v>32900</v>
      </c>
      <c r="H9" s="1">
        <f>F9+G9</f>
        <v>105579.28228058049</v>
      </c>
      <c r="I9" s="7"/>
      <c r="J9" s="2">
        <v>0</v>
      </c>
      <c r="K9" s="2">
        <v>1</v>
      </c>
      <c r="L9" s="2">
        <v>0</v>
      </c>
      <c r="M9" s="2">
        <v>0</v>
      </c>
      <c r="N9" s="2"/>
    </row>
    <row r="10" spans="1:16" x14ac:dyDescent="0.2">
      <c r="A10">
        <f t="shared" ref="A10:A13" si="0">J2*$J$27</f>
        <v>20060.063633310292</v>
      </c>
      <c r="B10">
        <f t="shared" ref="B10:B13" si="1">K2*$J$28</f>
        <v>16499.993619810743</v>
      </c>
      <c r="C10">
        <f t="shared" ref="C10:C13" si="2">L2*$J$29</f>
        <v>11032.637235666292</v>
      </c>
      <c r="D10">
        <f t="shared" ref="D10:D13" si="3">M2*$J$30</f>
        <v>15083.936732383478</v>
      </c>
      <c r="F10" s="3">
        <f t="shared" ref="F10:F13" si="4">SUM(A10:E10)</f>
        <v>62676.631221170799</v>
      </c>
      <c r="G10" s="1">
        <v>28990</v>
      </c>
      <c r="H10" s="1">
        <f>F10+G10</f>
        <v>91666.631221170799</v>
      </c>
      <c r="I10" s="7"/>
      <c r="J10" s="2">
        <v>0</v>
      </c>
      <c r="K10" s="2">
        <v>0</v>
      </c>
      <c r="L10" s="2">
        <v>1</v>
      </c>
      <c r="M10" s="2">
        <v>0</v>
      </c>
      <c r="N10" s="2"/>
    </row>
    <row r="11" spans="1:16" x14ac:dyDescent="0.2">
      <c r="A11">
        <f t="shared" si="0"/>
        <v>14781.09951928127</v>
      </c>
      <c r="B11">
        <f t="shared" si="1"/>
        <v>23833.32411750441</v>
      </c>
      <c r="C11">
        <f t="shared" si="2"/>
        <v>19056.37340705996</v>
      </c>
      <c r="D11">
        <f t="shared" si="3"/>
        <v>22625.905098575215</v>
      </c>
      <c r="F11" s="3">
        <f t="shared" si="4"/>
        <v>80296.702142420851</v>
      </c>
      <c r="G11" s="1">
        <v>20000</v>
      </c>
      <c r="H11" s="1">
        <f>F11+G11</f>
        <v>100296.70214242085</v>
      </c>
      <c r="I11" s="7"/>
      <c r="J11" s="2">
        <v>0</v>
      </c>
      <c r="K11" s="2">
        <v>0</v>
      </c>
      <c r="L11" s="2">
        <v>0</v>
      </c>
      <c r="M11" s="2">
        <v>1</v>
      </c>
      <c r="N11" s="2"/>
    </row>
    <row r="12" spans="1:16" x14ac:dyDescent="0.2">
      <c r="A12">
        <f t="shared" si="0"/>
        <v>19004.270810504488</v>
      </c>
      <c r="B12">
        <f t="shared" si="1"/>
        <v>13749.994683175619</v>
      </c>
      <c r="C12">
        <f t="shared" si="2"/>
        <v>21062.307449908374</v>
      </c>
      <c r="D12">
        <f t="shared" si="3"/>
        <v>23882.899826273842</v>
      </c>
      <c r="F12" s="3">
        <f t="shared" si="4"/>
        <v>77699.472769862317</v>
      </c>
      <c r="G12" s="1">
        <v>48000</v>
      </c>
      <c r="H12" s="1">
        <f>F12+G12</f>
        <v>125699.47276986232</v>
      </c>
      <c r="I12" s="7"/>
      <c r="J12" s="2"/>
      <c r="K12" s="2"/>
      <c r="L12" s="2"/>
      <c r="M12" s="2"/>
      <c r="N12" s="2"/>
    </row>
    <row r="13" spans="1:16" x14ac:dyDescent="0.2">
      <c r="F13" s="3">
        <f t="shared" si="4"/>
        <v>0</v>
      </c>
      <c r="G13" s="1">
        <v>0</v>
      </c>
      <c r="H13" s="1">
        <f>F13+G13</f>
        <v>0</v>
      </c>
    </row>
    <row r="14" spans="1:16" x14ac:dyDescent="0.2">
      <c r="A14" s="3">
        <f>SUM(A9:A13)</f>
        <v>79184.461710435367</v>
      </c>
      <c r="B14" s="3">
        <f t="shared" ref="B14:E14" si="5">SUM(B9:B13)</f>
        <v>65999.974479242985</v>
      </c>
      <c r="C14" s="3">
        <f t="shared" si="5"/>
        <v>60178.021285452502</v>
      </c>
      <c r="D14" s="3">
        <f t="shared" si="5"/>
        <v>87989.630938903618</v>
      </c>
      <c r="E14" s="3">
        <f t="shared" si="5"/>
        <v>0</v>
      </c>
      <c r="F14" s="4">
        <f>SUM(A14:E14)*SUM(F9:F13)</f>
        <v>86055447776.875488</v>
      </c>
      <c r="G14" s="3">
        <f>SUM(G9:G13)</f>
        <v>129890</v>
      </c>
      <c r="H14" s="5">
        <f>SUM(H9:H13)</f>
        <v>423242.08841403446</v>
      </c>
    </row>
    <row r="15" spans="1:16" ht="14.5" customHeight="1" x14ac:dyDescent="0.2">
      <c r="A15">
        <f>A16-A14</f>
        <v>26394.820570145122</v>
      </c>
      <c r="B15">
        <f t="shared" ref="B15:E15" si="6">B16-B14</f>
        <v>25666.656741927814</v>
      </c>
      <c r="C15">
        <f t="shared" si="6"/>
        <v>40118.680856968349</v>
      </c>
      <c r="D15">
        <f t="shared" si="6"/>
        <v>37709.8418309587</v>
      </c>
      <c r="E15">
        <f t="shared" si="6"/>
        <v>0</v>
      </c>
      <c r="F15" s="3">
        <f>SUM(A15:E15)</f>
        <v>129889.99999999999</v>
      </c>
      <c r="I15" s="7" t="s">
        <v>3</v>
      </c>
      <c r="J15" s="1">
        <f>J8-J1</f>
        <v>0.76</v>
      </c>
      <c r="K15" s="1">
        <f t="shared" ref="K15:N15" si="7">K8-K1</f>
        <v>-0.13</v>
      </c>
      <c r="L15" s="1">
        <f t="shared" si="7"/>
        <v>-0.09</v>
      </c>
      <c r="M15" s="1">
        <f t="shared" si="7"/>
        <v>-0.21</v>
      </c>
      <c r="N15" s="1">
        <f t="shared" si="7"/>
        <v>0</v>
      </c>
    </row>
    <row r="16" spans="1:16" x14ac:dyDescent="0.2">
      <c r="A16">
        <f>F9+G9</f>
        <v>105579.28228058049</v>
      </c>
      <c r="B16" s="1">
        <f>F10+G10</f>
        <v>91666.631221170799</v>
      </c>
      <c r="C16">
        <f>F11+G11</f>
        <v>100296.70214242085</v>
      </c>
      <c r="D16">
        <f>F12+G12</f>
        <v>125699.47276986232</v>
      </c>
      <c r="E16">
        <f>F13+G13</f>
        <v>0</v>
      </c>
      <c r="F16" s="3">
        <f>SUM(A16:E16)</f>
        <v>423242.08841403446</v>
      </c>
      <c r="I16" s="7"/>
      <c r="J16" s="1">
        <f t="shared" ref="J16:N16" si="8">J9-J2</f>
        <v>-0.19</v>
      </c>
      <c r="K16" s="1">
        <f t="shared" si="8"/>
        <v>0.82000000000000006</v>
      </c>
      <c r="L16" s="1">
        <f t="shared" si="8"/>
        <v>-0.11</v>
      </c>
      <c r="M16" s="1">
        <f t="shared" si="8"/>
        <v>-0.12</v>
      </c>
      <c r="N16" s="1">
        <f t="shared" si="8"/>
        <v>0</v>
      </c>
    </row>
    <row r="17" spans="9:14" x14ac:dyDescent="0.2">
      <c r="I17" s="7"/>
      <c r="J17" s="1">
        <f t="shared" ref="J17:N17" si="9">J10-J3</f>
        <v>-0.14000000000000001</v>
      </c>
      <c r="K17" s="1">
        <f t="shared" si="9"/>
        <v>-0.26</v>
      </c>
      <c r="L17" s="1">
        <f t="shared" si="9"/>
        <v>0.81</v>
      </c>
      <c r="M17" s="1">
        <f t="shared" si="9"/>
        <v>-0.18</v>
      </c>
      <c r="N17" s="1">
        <f t="shared" si="9"/>
        <v>0</v>
      </c>
    </row>
    <row r="18" spans="9:14" x14ac:dyDescent="0.2">
      <c r="I18" s="7"/>
      <c r="J18" s="1">
        <f t="shared" ref="J18:N18" si="10">J11-J4</f>
        <v>-0.18</v>
      </c>
      <c r="K18" s="1">
        <f t="shared" si="10"/>
        <v>-0.15</v>
      </c>
      <c r="L18" s="1">
        <f t="shared" si="10"/>
        <v>-0.21</v>
      </c>
      <c r="M18" s="1">
        <f t="shared" si="10"/>
        <v>0.81</v>
      </c>
      <c r="N18" s="1">
        <f t="shared" si="10"/>
        <v>0</v>
      </c>
    </row>
    <row r="19" spans="9:14" x14ac:dyDescent="0.2">
      <c r="I19" s="7"/>
      <c r="J19" s="1">
        <f t="shared" ref="J19:N19" si="11">J12-J5</f>
        <v>0</v>
      </c>
      <c r="K19" s="1">
        <f t="shared" si="11"/>
        <v>0</v>
      </c>
      <c r="L19" s="1">
        <f t="shared" si="11"/>
        <v>0</v>
      </c>
      <c r="M19" s="1">
        <f t="shared" si="11"/>
        <v>0</v>
      </c>
      <c r="N19" s="1">
        <f t="shared" si="11"/>
        <v>0</v>
      </c>
    </row>
    <row r="21" spans="9:14" x14ac:dyDescent="0.2">
      <c r="I21" s="8" t="s">
        <v>4</v>
      </c>
      <c r="J21" s="1">
        <f t="array" ref="J21:M24">MINVERSE(J15:M18)</f>
        <v>1.6560611149510398</v>
      </c>
      <c r="K21" s="1">
        <v>0.49978149148594858</v>
      </c>
      <c r="L21" s="1">
        <v>0.40576447505436758</v>
      </c>
      <c r="M21" s="1">
        <v>0.59356076373804734</v>
      </c>
      <c r="N21" s="1"/>
    </row>
    <row r="22" spans="9:14" x14ac:dyDescent="0.2">
      <c r="I22" s="8"/>
      <c r="J22" s="1">
        <v>0.55667799625747427</v>
      </c>
      <c r="K22" s="1">
        <v>1.5128958926883289</v>
      </c>
      <c r="L22" s="1">
        <v>0.38501589211774284</v>
      </c>
      <c r="M22" s="1">
        <v>0.45401573693563296</v>
      </c>
      <c r="N22" s="1"/>
    </row>
    <row r="23" spans="9:14" x14ac:dyDescent="0.2">
      <c r="I23" s="8"/>
      <c r="J23" s="1">
        <v>0.60443215667254957</v>
      </c>
      <c r="K23" s="1">
        <v>0.69922724496425392</v>
      </c>
      <c r="L23" s="1">
        <v>1.5536798260231319</v>
      </c>
      <c r="M23" s="1">
        <v>0.60555603824828341</v>
      </c>
      <c r="N23" s="1"/>
    </row>
    <row r="24" spans="9:14" x14ac:dyDescent="0.2">
      <c r="I24" s="8"/>
      <c r="J24" s="1">
        <v>0.62780673213709093</v>
      </c>
      <c r="K24" s="1">
        <v>0.57250959730026341</v>
      </c>
      <c r="L24" s="1">
        <v>0.56427500344729042</v>
      </c>
      <c r="M24" s="1">
        <v>1.6075432914139913</v>
      </c>
      <c r="N24" s="1"/>
    </row>
    <row r="25" spans="9:14" x14ac:dyDescent="0.2">
      <c r="I25" s="8"/>
      <c r="J25" s="1"/>
      <c r="K25" s="1"/>
      <c r="L25" s="1"/>
      <c r="M25" s="1"/>
      <c r="N25" s="1"/>
    </row>
    <row r="27" spans="9:14" x14ac:dyDescent="0.2">
      <c r="I27" s="8" t="s">
        <v>5</v>
      </c>
      <c r="J27" s="1" cm="1">
        <f t="array" ref="J27:J30">MMULT(_xlfn.ANCHORARRAY(J21),P1:P4)</f>
        <v>105579.28228058049</v>
      </c>
    </row>
    <row r="28" spans="9:14" x14ac:dyDescent="0.2">
      <c r="I28" s="8"/>
      <c r="J28" s="1">
        <v>91666.631221170799</v>
      </c>
    </row>
    <row r="29" spans="9:14" x14ac:dyDescent="0.2">
      <c r="I29" s="8"/>
      <c r="J29" s="1">
        <v>100296.70214242084</v>
      </c>
    </row>
    <row r="30" spans="9:14" x14ac:dyDescent="0.2">
      <c r="I30" s="8"/>
      <c r="J30" s="1">
        <v>125699.47276986232</v>
      </c>
    </row>
    <row r="31" spans="9:14" x14ac:dyDescent="0.2">
      <c r="I31" s="8"/>
      <c r="J31" s="1"/>
    </row>
  </sheetData>
  <mergeCells count="6">
    <mergeCell ref="O1:O5"/>
    <mergeCell ref="I1:I5"/>
    <mergeCell ref="I8:I12"/>
    <mergeCell ref="I15:I19"/>
    <mergeCell ref="I21:I25"/>
    <mergeCell ref="I27:I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C1AC-1037-42C1-893B-257C389A8BFA}">
  <dimension ref="A1:P29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16.83203125" customWidth="1"/>
    <col min="2" max="2" width="10.5" customWidth="1"/>
    <col min="6" max="6" width="12.1640625" customWidth="1"/>
  </cols>
  <sheetData>
    <row r="1" spans="1:16" x14ac:dyDescent="0.2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H1" s="7" t="s">
        <v>1</v>
      </c>
      <c r="I1">
        <v>0.24</v>
      </c>
      <c r="J1">
        <v>0.13</v>
      </c>
      <c r="K1">
        <v>0.09</v>
      </c>
      <c r="L1">
        <v>0.21</v>
      </c>
      <c r="M1">
        <v>32900</v>
      </c>
      <c r="O1" s="9" t="s">
        <v>6</v>
      </c>
      <c r="P1">
        <v>32900</v>
      </c>
    </row>
    <row r="2" spans="1:16" ht="14.5" customHeight="1" x14ac:dyDescent="0.2">
      <c r="A2" t="s">
        <v>7</v>
      </c>
      <c r="B2">
        <v>0.24</v>
      </c>
      <c r="C2">
        <v>0.13</v>
      </c>
      <c r="D2">
        <v>0.09</v>
      </c>
      <c r="E2">
        <v>0.21</v>
      </c>
      <c r="F2">
        <v>32900</v>
      </c>
      <c r="H2" s="7"/>
      <c r="I2">
        <v>0.19</v>
      </c>
      <c r="J2">
        <v>0.18</v>
      </c>
      <c r="K2">
        <v>0.11</v>
      </c>
      <c r="L2">
        <v>0.12</v>
      </c>
      <c r="M2">
        <v>28990</v>
      </c>
      <c r="O2" s="9"/>
      <c r="P2">
        <v>28990</v>
      </c>
    </row>
    <row r="3" spans="1:16" x14ac:dyDescent="0.2">
      <c r="A3" t="s">
        <v>8</v>
      </c>
      <c r="B3">
        <v>0.19</v>
      </c>
      <c r="C3">
        <v>0.18</v>
      </c>
      <c r="D3">
        <v>0.11</v>
      </c>
      <c r="E3">
        <v>0.12</v>
      </c>
      <c r="F3">
        <v>28990</v>
      </c>
      <c r="H3" s="7"/>
      <c r="I3">
        <v>0.14000000000000001</v>
      </c>
      <c r="J3">
        <v>0.26</v>
      </c>
      <c r="K3">
        <v>0.19</v>
      </c>
      <c r="L3">
        <v>0.18</v>
      </c>
      <c r="M3">
        <v>20000</v>
      </c>
      <c r="O3" s="9"/>
      <c r="P3">
        <v>20000</v>
      </c>
    </row>
    <row r="4" spans="1:16" x14ac:dyDescent="0.2">
      <c r="A4" t="s">
        <v>9</v>
      </c>
      <c r="B4">
        <v>0.14000000000000001</v>
      </c>
      <c r="C4">
        <v>0.26</v>
      </c>
      <c r="D4">
        <v>0.19</v>
      </c>
      <c r="E4">
        <v>0.18</v>
      </c>
      <c r="F4">
        <v>20000</v>
      </c>
      <c r="H4" s="7"/>
      <c r="I4">
        <v>0.18</v>
      </c>
      <c r="J4">
        <v>0.15</v>
      </c>
      <c r="K4">
        <v>0.21</v>
      </c>
      <c r="L4">
        <v>0.19</v>
      </c>
      <c r="M4">
        <v>48000</v>
      </c>
      <c r="O4" s="9"/>
      <c r="P4">
        <v>48000</v>
      </c>
    </row>
    <row r="5" spans="1:16" x14ac:dyDescent="0.2">
      <c r="A5" t="s">
        <v>10</v>
      </c>
      <c r="B5">
        <v>0.18</v>
      </c>
      <c r="C5">
        <v>0.15</v>
      </c>
      <c r="D5">
        <v>0.21</v>
      </c>
      <c r="E5">
        <v>0.19</v>
      </c>
      <c r="F5">
        <v>48000</v>
      </c>
      <c r="H5" s="7"/>
      <c r="O5" s="9"/>
    </row>
    <row r="7" spans="1:16" x14ac:dyDescent="0.2">
      <c r="H7" s="7" t="s">
        <v>2</v>
      </c>
      <c r="I7" s="2">
        <v>1</v>
      </c>
      <c r="J7" s="2">
        <v>0</v>
      </c>
      <c r="K7" s="2">
        <v>0</v>
      </c>
      <c r="L7" s="2">
        <v>0</v>
      </c>
    </row>
    <row r="8" spans="1:16" x14ac:dyDescent="0.2">
      <c r="H8" s="7"/>
      <c r="I8" s="2">
        <v>0</v>
      </c>
      <c r="J8" s="2">
        <v>1</v>
      </c>
      <c r="K8" s="2">
        <v>0</v>
      </c>
      <c r="L8" s="2">
        <v>0</v>
      </c>
    </row>
    <row r="9" spans="1:16" x14ac:dyDescent="0.2">
      <c r="H9" s="7"/>
      <c r="I9" s="2">
        <v>0</v>
      </c>
      <c r="J9" s="2">
        <v>0</v>
      </c>
      <c r="K9" s="2">
        <v>1</v>
      </c>
      <c r="L9" s="2">
        <v>0</v>
      </c>
    </row>
    <row r="10" spans="1:16" x14ac:dyDescent="0.2">
      <c r="H10" s="7"/>
      <c r="I10" s="2">
        <v>0</v>
      </c>
      <c r="J10" s="2">
        <v>0</v>
      </c>
      <c r="K10" s="2">
        <v>0</v>
      </c>
      <c r="L10" s="2">
        <v>1</v>
      </c>
    </row>
    <row r="11" spans="1:16" x14ac:dyDescent="0.2">
      <c r="H11" s="8"/>
      <c r="I11" s="6"/>
      <c r="J11" s="6"/>
      <c r="K11" s="6"/>
      <c r="L11" s="6"/>
    </row>
    <row r="13" spans="1:16" x14ac:dyDescent="0.2">
      <c r="H13" s="7" t="s">
        <v>3</v>
      </c>
      <c r="I13" s="2">
        <f>I7-I1</f>
        <v>0.76</v>
      </c>
      <c r="J13" s="2">
        <f t="shared" ref="J13:L13" si="0">J7-J1</f>
        <v>-0.13</v>
      </c>
      <c r="K13" s="2">
        <f t="shared" si="0"/>
        <v>-0.09</v>
      </c>
      <c r="L13" s="2">
        <f t="shared" si="0"/>
        <v>-0.21</v>
      </c>
    </row>
    <row r="14" spans="1:16" x14ac:dyDescent="0.2">
      <c r="H14" s="7"/>
      <c r="I14" s="2">
        <f t="shared" ref="I14:L14" si="1">I8-I2</f>
        <v>-0.19</v>
      </c>
      <c r="J14" s="2">
        <f t="shared" si="1"/>
        <v>0.82000000000000006</v>
      </c>
      <c r="K14" s="2">
        <f t="shared" si="1"/>
        <v>-0.11</v>
      </c>
      <c r="L14" s="2">
        <f t="shared" si="1"/>
        <v>-0.12</v>
      </c>
    </row>
    <row r="15" spans="1:16" x14ac:dyDescent="0.2">
      <c r="H15" s="7"/>
      <c r="I15" s="2">
        <f t="shared" ref="I15:L15" si="2">I9-I3</f>
        <v>-0.14000000000000001</v>
      </c>
      <c r="J15" s="2">
        <f t="shared" si="2"/>
        <v>-0.26</v>
      </c>
      <c r="K15" s="2">
        <f t="shared" si="2"/>
        <v>0.81</v>
      </c>
      <c r="L15" s="2">
        <f t="shared" si="2"/>
        <v>-0.18</v>
      </c>
    </row>
    <row r="16" spans="1:16" x14ac:dyDescent="0.2">
      <c r="H16" s="7"/>
      <c r="I16" s="2">
        <f t="shared" ref="I16:L16" si="3">I10-I4</f>
        <v>-0.18</v>
      </c>
      <c r="J16" s="2">
        <f t="shared" si="3"/>
        <v>-0.15</v>
      </c>
      <c r="K16" s="2">
        <f t="shared" si="3"/>
        <v>-0.21</v>
      </c>
      <c r="L16" s="2">
        <f t="shared" si="3"/>
        <v>0.81</v>
      </c>
    </row>
    <row r="17" spans="8:12" x14ac:dyDescent="0.2">
      <c r="H17" s="8"/>
    </row>
    <row r="19" spans="8:12" x14ac:dyDescent="0.2">
      <c r="H19" s="8" t="s">
        <v>4</v>
      </c>
      <c r="I19" s="1">
        <f t="array" ref="I19:L22">MINVERSE(I13:L16)</f>
        <v>1.6560611149510398</v>
      </c>
      <c r="J19" s="1">
        <v>0.49978149148594858</v>
      </c>
      <c r="K19" s="1">
        <v>0.40576447505436758</v>
      </c>
      <c r="L19" s="1">
        <v>0.59356076373804734</v>
      </c>
    </row>
    <row r="20" spans="8:12" x14ac:dyDescent="0.2">
      <c r="H20" s="8"/>
      <c r="I20" s="1">
        <v>0.55667799625747427</v>
      </c>
      <c r="J20" s="1">
        <v>1.5128958926883289</v>
      </c>
      <c r="K20" s="1">
        <v>0.38501589211774284</v>
      </c>
      <c r="L20" s="1">
        <v>0.45401573693563296</v>
      </c>
    </row>
    <row r="21" spans="8:12" x14ac:dyDescent="0.2">
      <c r="H21" s="8"/>
      <c r="I21" s="1">
        <v>0.60443215667254957</v>
      </c>
      <c r="J21" s="1">
        <v>0.69922724496425392</v>
      </c>
      <c r="K21" s="1">
        <v>1.5536798260231319</v>
      </c>
      <c r="L21" s="1">
        <v>0.60555603824828341</v>
      </c>
    </row>
    <row r="22" spans="8:12" x14ac:dyDescent="0.2">
      <c r="H22" s="8"/>
      <c r="I22" s="1">
        <v>0.62780673213709093</v>
      </c>
      <c r="J22" s="1">
        <v>0.57250959730026341</v>
      </c>
      <c r="K22" s="1">
        <v>0.56427500344729042</v>
      </c>
      <c r="L22" s="1">
        <v>1.6075432914139913</v>
      </c>
    </row>
    <row r="23" spans="8:12" x14ac:dyDescent="0.2">
      <c r="H23" s="8"/>
    </row>
    <row r="25" spans="8:12" x14ac:dyDescent="0.2">
      <c r="H25" s="8" t="s">
        <v>5</v>
      </c>
      <c r="I25" s="1"/>
    </row>
    <row r="26" spans="8:12" x14ac:dyDescent="0.2">
      <c r="H26" s="8"/>
      <c r="I26" s="1"/>
    </row>
    <row r="27" spans="8:12" x14ac:dyDescent="0.2">
      <c r="H27" s="8"/>
      <c r="I27" s="1"/>
    </row>
    <row r="28" spans="8:12" x14ac:dyDescent="0.2">
      <c r="H28" s="8"/>
      <c r="I28" s="1"/>
    </row>
    <row r="29" spans="8:12" x14ac:dyDescent="0.2">
      <c r="H29" s="8"/>
      <c r="I29" s="1"/>
    </row>
  </sheetData>
  <mergeCells count="6">
    <mergeCell ref="H25:H29"/>
    <mergeCell ref="H1:H5"/>
    <mergeCell ref="O1:O5"/>
    <mergeCell ref="H7:H11"/>
    <mergeCell ref="H13:H17"/>
    <mergeCell ref="H19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Королёв</dc:creator>
  <cp:lastModifiedBy>e314</cp:lastModifiedBy>
  <dcterms:created xsi:type="dcterms:W3CDTF">2025-09-20T05:51:47Z</dcterms:created>
  <dcterms:modified xsi:type="dcterms:W3CDTF">2025-10-18T07:52:29Z</dcterms:modified>
</cp:coreProperties>
</file>