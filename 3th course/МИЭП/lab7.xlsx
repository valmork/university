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ntonkorolev/Documents/university/3th course/МИЭП/"/>
    </mc:Choice>
  </mc:AlternateContent>
  <xr:revisionPtr revIDLastSave="0" documentId="13_ncr:1_{3CB4B509-3E2F-4A4C-86DC-24A7FB71C570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Задание 1 (в2)" sheetId="3" r:id="rId1"/>
    <sheet name="Задание 2 (в2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G10" i="4"/>
  <c r="H4" i="4"/>
  <c r="H5" i="4"/>
  <c r="H6" i="4"/>
  <c r="H7" i="4"/>
  <c r="H8" i="4"/>
  <c r="H9" i="4"/>
  <c r="H3" i="4"/>
  <c r="C10" i="4"/>
  <c r="D10" i="4"/>
  <c r="E10" i="4"/>
  <c r="F10" i="4"/>
  <c r="B10" i="4"/>
  <c r="G4" i="4"/>
  <c r="G5" i="4"/>
  <c r="G6" i="4"/>
  <c r="G7" i="4"/>
  <c r="G8" i="4"/>
  <c r="G9" i="4"/>
  <c r="G3" i="4"/>
  <c r="B15" i="3"/>
  <c r="H10" i="4" l="1"/>
  <c r="C14" i="4" s="1"/>
  <c r="I14" i="4" s="1"/>
  <c r="C35" i="3"/>
  <c r="D35" i="3"/>
  <c r="D28" i="3"/>
  <c r="D29" i="3"/>
  <c r="D30" i="3"/>
  <c r="D31" i="3"/>
  <c r="D32" i="3"/>
  <c r="D33" i="3"/>
  <c r="D34" i="3"/>
  <c r="D27" i="3"/>
  <c r="C28" i="3"/>
  <c r="C29" i="3"/>
  <c r="C30" i="3"/>
  <c r="C31" i="3"/>
  <c r="C32" i="3"/>
  <c r="C33" i="3"/>
  <c r="C34" i="3"/>
  <c r="C27" i="3"/>
  <c r="B29" i="3"/>
  <c r="B30" i="3"/>
  <c r="B31" i="3"/>
  <c r="B32" i="3"/>
  <c r="B33" i="3"/>
  <c r="B34" i="3"/>
  <c r="B28" i="3"/>
  <c r="B27" i="3"/>
  <c r="B35" i="3" s="1"/>
  <c r="D22" i="3"/>
  <c r="D21" i="3"/>
  <c r="D20" i="3"/>
  <c r="D19" i="3"/>
  <c r="D18" i="3"/>
  <c r="D17" i="3"/>
  <c r="D16" i="3"/>
  <c r="D15" i="3"/>
  <c r="C22" i="3"/>
  <c r="C21" i="3"/>
  <c r="C20" i="3"/>
  <c r="C19" i="3"/>
  <c r="C18" i="3"/>
  <c r="C17" i="3"/>
  <c r="C16" i="3"/>
  <c r="C15" i="3"/>
  <c r="B20" i="3"/>
  <c r="B22" i="3"/>
  <c r="B21" i="3"/>
  <c r="B19" i="3"/>
  <c r="B18" i="3"/>
  <c r="B17" i="3"/>
  <c r="B16" i="3"/>
  <c r="F10" i="3"/>
  <c r="F3" i="3"/>
  <c r="F4" i="3"/>
  <c r="F5" i="3"/>
  <c r="F6" i="3"/>
  <c r="F7" i="3"/>
  <c r="F8" i="3"/>
  <c r="F9" i="3"/>
  <c r="F2" i="3"/>
  <c r="E10" i="3"/>
  <c r="E3" i="3"/>
  <c r="E4" i="3"/>
  <c r="E5" i="3"/>
  <c r="E6" i="3"/>
  <c r="E7" i="3"/>
  <c r="E8" i="3"/>
  <c r="E9" i="3"/>
  <c r="E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<sst xmlns="http://schemas.openxmlformats.org/spreadsheetml/2006/main" count="44" uniqueCount="41">
  <si>
    <t>Качество</t>
  </si>
  <si>
    <t>Опыт работы в банковской сфере</t>
  </si>
  <si>
    <t>Опыт работы в ИТ</t>
  </si>
  <si>
    <t>Уровень образования</t>
  </si>
  <si>
    <t>Опыт руководства людьми</t>
  </si>
  <si>
    <t>Коммуникабельность</t>
  </si>
  <si>
    <t>Стремление к саморазвитию</t>
  </si>
  <si>
    <t>Ответственное отношение к делу</t>
  </si>
  <si>
    <t>Личное обаяние</t>
  </si>
  <si>
    <t>Эксперт 1</t>
  </si>
  <si>
    <t>Сумма баллов</t>
  </si>
  <si>
    <t>Эксперт 2</t>
  </si>
  <si>
    <t>Эксперт 3</t>
  </si>
  <si>
    <t>Относительный вес </t>
  </si>
  <si>
    <t>Групповая оценка качеств каждого кандидата</t>
  </si>
  <si>
    <t>Иванов И.И.</t>
  </si>
  <si>
    <t>Петров П.П.</t>
  </si>
  <si>
    <t>Сидоров С.С.</t>
  </si>
  <si>
    <t>Интегральная оценка каждого претендента</t>
  </si>
  <si>
    <t>ВЫВОД: НАИБОЛЕЕ ПОДХОДЯЩЕЙ КАНДИДАТУРОЙ ЯВЛЯЕТСЯ ПЕТРОВ П. П., ТАК КАК ЕГО ИНТЕГРАЛЬНАЯ ОЦЕНКА САМАЯ ВЫСОКАЯ</t>
  </si>
  <si>
    <t>Вариант A</t>
  </si>
  <si>
    <t>Вариант B</t>
  </si>
  <si>
    <t>Вариант C</t>
  </si>
  <si>
    <t>Вариант D</t>
  </si>
  <si>
    <t>Вариант E</t>
  </si>
  <si>
    <t>Вариант P</t>
  </si>
  <si>
    <t>Вариант O</t>
  </si>
  <si>
    <t>Эксперты</t>
  </si>
  <si>
    <t>1-ый</t>
  </si>
  <si>
    <t>2-ой</t>
  </si>
  <si>
    <t>3-ий</t>
  </si>
  <si>
    <t>4-ый</t>
  </si>
  <si>
    <t>5-ый</t>
  </si>
  <si>
    <r>
      <t xml:space="preserve">S </t>
    </r>
    <r>
      <rPr>
        <vertAlign val="subscript"/>
        <sz val="11"/>
        <color theme="1"/>
        <rFont val="Calibri (Основной текст)"/>
        <charset val="204"/>
      </rPr>
      <t>ср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</si>
  <si>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S </t>
    </r>
    <r>
      <rPr>
        <vertAlign val="subscript"/>
        <sz val="11"/>
        <color theme="1"/>
        <rFont val="Calibri (Основной текст)"/>
        <charset val="204"/>
      </rPr>
      <t>i</t>
    </r>
  </si>
  <si>
    <t xml:space="preserve">m = </t>
  </si>
  <si>
    <t xml:space="preserve">n = </t>
  </si>
  <si>
    <t xml:space="preserve">Так как 19,628 &gt; 12,592, значит нулевая гипотеза </t>
  </si>
  <si>
    <t xml:space="preserve">о случайности ранжировок отвергается, следовательно </t>
  </si>
  <si>
    <t>в мнениях экспертов существует согласованность</t>
  </si>
  <si>
    <t>12,592(табл.значение при 0,05 и n-1 степенях свободы)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</si>
</sst>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 (Основной текст)"/>
      <charset val="204"/>
    </font>
    <font>
      <b/>
      <sz val="11"/>
      <color theme="1"/>
      <name val="Calibri"/>
      <family val="2"/>
      <scheme val="minor"/>
    </font>
    <font>
      <b/>
      <sz val="12"/>
      <color rgb="FF0F1115"/>
      <name val="Helvetica Neue"/>
      <family val="2"/>
    </font>
    <font>
      <sz val="12"/>
      <color rgb="FF0F1115"/>
      <name val="Helvetica Neue"/>
      <family val="2"/>
    </font>
    <font>
      <sz val="12"/>
      <color rgb="FF0F1115"/>
      <name val="Helvetica Neue"/>
      <family val="2"/>
    </font>
    <font>
      <b/>
      <sz val="11"/>
      <color theme="1"/>
      <name val="Helvetica Neue"/>
      <family val="2"/>
    </font>
    <font>
      <b/>
      <sz val="12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</xdr:rowOff>
    </xdr:from>
    <xdr:to>
      <xdr:col>15</xdr:col>
      <xdr:colOff>465667</xdr:colOff>
      <xdr:row>2</xdr:row>
      <xdr:rowOff>31364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12BCCFB-FB97-69D3-66F8-7D107B108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0" y="1"/>
          <a:ext cx="5444067" cy="42083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1</xdr:rowOff>
    </xdr:from>
    <xdr:to>
      <xdr:col>15</xdr:col>
      <xdr:colOff>448733</xdr:colOff>
      <xdr:row>4</xdr:row>
      <xdr:rowOff>35671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D836DC9-EB13-88E9-9A22-E093B6364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00" y="389468"/>
          <a:ext cx="5427133" cy="42513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A3E0-E705-2F48-9C0B-E6DCC10A06A4}">
  <dimension ref="A1:H35"/>
  <sheetViews>
    <sheetView topLeftCell="A9" zoomScale="136" workbookViewId="0">
      <selection activeCell="G21" sqref="G21"/>
    </sheetView>
  </sheetViews>
  <sheetFormatPr baseColWidth="10" defaultRowHeight="15" x14ac:dyDescent="0.2"/>
  <cols>
    <col min="1" max="1" width="34" bestFit="1" customWidth="1"/>
    <col min="2" max="2" width="12.6640625" bestFit="1" customWidth="1"/>
    <col min="3" max="3" width="12.5" bestFit="1" customWidth="1"/>
    <col min="4" max="4" width="14" bestFit="1" customWidth="1"/>
    <col min="5" max="5" width="15.5" bestFit="1" customWidth="1"/>
    <col min="6" max="6" width="20.5" bestFit="1" customWidth="1"/>
  </cols>
  <sheetData>
    <row r="1" spans="1:6" ht="16" x14ac:dyDescent="0.2">
      <c r="A1" s="4" t="s">
        <v>0</v>
      </c>
      <c r="B1" s="6" t="s">
        <v>9</v>
      </c>
      <c r="C1" s="6" t="s">
        <v>11</v>
      </c>
      <c r="D1" s="6" t="s">
        <v>12</v>
      </c>
      <c r="E1" s="6" t="s">
        <v>10</v>
      </c>
      <c r="F1" s="5" t="s">
        <v>13</v>
      </c>
    </row>
    <row r="2" spans="1:6" ht="16" x14ac:dyDescent="0.2">
      <c r="A2" s="5" t="s">
        <v>2</v>
      </c>
      <c r="B2">
        <v>7</v>
      </c>
      <c r="C2">
        <v>9</v>
      </c>
      <c r="D2">
        <v>9</v>
      </c>
      <c r="E2">
        <f>SUM(B2:D2)</f>
        <v>25</v>
      </c>
      <c r="F2">
        <f>E2/$E$10</f>
        <v>0.15527950310559005</v>
      </c>
    </row>
    <row r="3" spans="1:6" ht="16" x14ac:dyDescent="0.2">
      <c r="A3" s="5" t="s">
        <v>1</v>
      </c>
      <c r="B3">
        <v>6</v>
      </c>
      <c r="C3">
        <v>5</v>
      </c>
      <c r="D3">
        <v>8</v>
      </c>
      <c r="E3">
        <f t="shared" ref="E3:E9" si="0">SUM(B3:D3)</f>
        <v>19</v>
      </c>
      <c r="F3">
        <f t="shared" ref="F3:F9" si="1">E3/$E$10</f>
        <v>0.11801242236024845</v>
      </c>
    </row>
    <row r="4" spans="1:6" ht="16" x14ac:dyDescent="0.2">
      <c r="A4" s="5" t="s">
        <v>3</v>
      </c>
      <c r="B4">
        <v>8</v>
      </c>
      <c r="C4">
        <v>5</v>
      </c>
      <c r="D4">
        <v>8</v>
      </c>
      <c r="E4">
        <f t="shared" si="0"/>
        <v>21</v>
      </c>
      <c r="F4">
        <f t="shared" si="1"/>
        <v>0.13043478260869565</v>
      </c>
    </row>
    <row r="5" spans="1:6" ht="16" x14ac:dyDescent="0.2">
      <c r="A5" s="5" t="s">
        <v>4</v>
      </c>
      <c r="B5">
        <v>6</v>
      </c>
      <c r="C5">
        <v>8</v>
      </c>
      <c r="D5">
        <v>6</v>
      </c>
      <c r="E5">
        <f t="shared" si="0"/>
        <v>20</v>
      </c>
      <c r="F5">
        <f t="shared" si="1"/>
        <v>0.12422360248447205</v>
      </c>
    </row>
    <row r="6" spans="1:6" ht="16" x14ac:dyDescent="0.2">
      <c r="A6" s="5" t="s">
        <v>5</v>
      </c>
      <c r="B6">
        <v>5</v>
      </c>
      <c r="C6">
        <v>4</v>
      </c>
      <c r="D6">
        <v>6</v>
      </c>
      <c r="E6">
        <f t="shared" si="0"/>
        <v>15</v>
      </c>
      <c r="F6">
        <f t="shared" si="1"/>
        <v>9.3167701863354033E-2</v>
      </c>
    </row>
    <row r="7" spans="1:6" ht="16" x14ac:dyDescent="0.2">
      <c r="A7" s="5" t="s">
        <v>6</v>
      </c>
      <c r="B7">
        <v>6</v>
      </c>
      <c r="C7">
        <v>8</v>
      </c>
      <c r="D7">
        <v>5</v>
      </c>
      <c r="E7">
        <f t="shared" si="0"/>
        <v>19</v>
      </c>
      <c r="F7">
        <f t="shared" si="1"/>
        <v>0.11801242236024845</v>
      </c>
    </row>
    <row r="8" spans="1:6" ht="16" x14ac:dyDescent="0.2">
      <c r="A8" s="5" t="s">
        <v>7</v>
      </c>
      <c r="B8">
        <v>9</v>
      </c>
      <c r="C8">
        <v>10</v>
      </c>
      <c r="D8">
        <v>8</v>
      </c>
      <c r="E8">
        <f t="shared" si="0"/>
        <v>27</v>
      </c>
      <c r="F8">
        <f t="shared" si="1"/>
        <v>0.16770186335403728</v>
      </c>
    </row>
    <row r="9" spans="1:6" ht="16" x14ac:dyDescent="0.2">
      <c r="A9" s="5" t="s">
        <v>8</v>
      </c>
      <c r="B9">
        <v>5</v>
      </c>
      <c r="C9">
        <v>6</v>
      </c>
      <c r="D9">
        <v>4</v>
      </c>
      <c r="E9">
        <f t="shared" si="0"/>
        <v>15</v>
      </c>
      <c r="F9">
        <f t="shared" si="1"/>
        <v>9.3167701863354033E-2</v>
      </c>
    </row>
    <row r="10" spans="1:6" x14ac:dyDescent="0.2">
      <c r="E10" s="2">
        <f>SUM(E2:E9)</f>
        <v>161</v>
      </c>
      <c r="F10" s="2">
        <f>SUM(F2:F9)</f>
        <v>0.99999999999999989</v>
      </c>
    </row>
    <row r="13" spans="1:6" ht="16" customHeight="1" x14ac:dyDescent="0.2">
      <c r="A13" s="10" t="s">
        <v>14</v>
      </c>
      <c r="B13" s="11" t="s">
        <v>15</v>
      </c>
      <c r="C13" s="12" t="s">
        <v>16</v>
      </c>
      <c r="D13" s="12" t="s">
        <v>17</v>
      </c>
    </row>
    <row r="14" spans="1:6" x14ac:dyDescent="0.2">
      <c r="A14" s="10"/>
      <c r="B14" s="11"/>
      <c r="C14" s="12"/>
      <c r="D14" s="12"/>
    </row>
    <row r="15" spans="1:6" x14ac:dyDescent="0.2">
      <c r="A15" s="3">
        <v>1</v>
      </c>
      <c r="B15">
        <f>AVERAGE(5,5,5)</f>
        <v>5</v>
      </c>
      <c r="C15">
        <f>AVERAGE(3,2,2)</f>
        <v>2.3333333333333335</v>
      </c>
      <c r="D15">
        <f>AVERAGE(3,4,4)</f>
        <v>3.6666666666666665</v>
      </c>
    </row>
    <row r="16" spans="1:6" x14ac:dyDescent="0.2">
      <c r="A16" s="3">
        <v>2</v>
      </c>
      <c r="B16">
        <f>AVERAGE(3,4,3)</f>
        <v>3.3333333333333335</v>
      </c>
      <c r="C16">
        <f>AVERAGE(5,5,4)</f>
        <v>4.666666666666667</v>
      </c>
      <c r="D16">
        <f>AVERAGE(2,2,1)</f>
        <v>1.6666666666666667</v>
      </c>
    </row>
    <row r="17" spans="1:8" x14ac:dyDescent="0.2">
      <c r="A17" s="3">
        <v>3</v>
      </c>
      <c r="B17">
        <f>AVERAGE(4,4,4)</f>
        <v>4</v>
      </c>
      <c r="C17">
        <f>AVERAGE(4,5,5)</f>
        <v>4.666666666666667</v>
      </c>
      <c r="D17">
        <f>AVERAGE(5,4,4)</f>
        <v>4.333333333333333</v>
      </c>
    </row>
    <row r="18" spans="1:8" x14ac:dyDescent="0.2">
      <c r="A18" s="3">
        <v>4</v>
      </c>
      <c r="B18">
        <f>AVERAGE(3,4,2)</f>
        <v>3</v>
      </c>
      <c r="C18">
        <f>AVERAGE(5,5,5)</f>
        <v>5</v>
      </c>
      <c r="D18">
        <f>AVERAGE(3,4,4)</f>
        <v>3.6666666666666665</v>
      </c>
    </row>
    <row r="19" spans="1:8" x14ac:dyDescent="0.2">
      <c r="A19" s="3">
        <v>5</v>
      </c>
      <c r="B19">
        <f>AVERAGE(5,3,3)</f>
        <v>3.6666666666666665</v>
      </c>
      <c r="C19">
        <f>AVERAGE(4,5,5)</f>
        <v>4.666666666666667</v>
      </c>
      <c r="D19">
        <f>AVERAGE(5,4,4)</f>
        <v>4.333333333333333</v>
      </c>
    </row>
    <row r="20" spans="1:8" x14ac:dyDescent="0.2">
      <c r="A20" s="3">
        <v>6</v>
      </c>
      <c r="B20">
        <f>AVERAGE(5,3,4)</f>
        <v>4</v>
      </c>
      <c r="C20">
        <f>AVERAGE(3,2,4)</f>
        <v>3</v>
      </c>
      <c r="D20">
        <f>AVERAGE(5,4,5)</f>
        <v>4.666666666666667</v>
      </c>
    </row>
    <row r="21" spans="1:8" x14ac:dyDescent="0.2">
      <c r="A21" s="3">
        <v>7</v>
      </c>
      <c r="B21">
        <f>AVERAGE(5,3,3)</f>
        <v>3.6666666666666665</v>
      </c>
      <c r="C21">
        <f>AVERAGE(4,5,5)</f>
        <v>4.666666666666667</v>
      </c>
      <c r="D21">
        <f>AVERAGE(5,5,4)</f>
        <v>4.666666666666667</v>
      </c>
    </row>
    <row r="22" spans="1:8" x14ac:dyDescent="0.2">
      <c r="A22" s="3">
        <v>8</v>
      </c>
      <c r="B22">
        <f>AVERAGE(4,4,4)</f>
        <v>4</v>
      </c>
      <c r="C22">
        <f>AVERAGE(3,4,3)</f>
        <v>3.3333333333333335</v>
      </c>
      <c r="D22">
        <f>AVERAGE(5,3,5)</f>
        <v>4.333333333333333</v>
      </c>
    </row>
    <row r="25" spans="1:8" x14ac:dyDescent="0.2">
      <c r="A25" s="13" t="s">
        <v>18</v>
      </c>
      <c r="B25" s="11" t="s">
        <v>15</v>
      </c>
      <c r="C25" s="12" t="s">
        <v>16</v>
      </c>
      <c r="D25" s="12" t="s">
        <v>17</v>
      </c>
    </row>
    <row r="26" spans="1:8" x14ac:dyDescent="0.2">
      <c r="A26" s="13"/>
      <c r="B26" s="11"/>
      <c r="C26" s="12"/>
      <c r="D26" s="12"/>
    </row>
    <row r="27" spans="1:8" x14ac:dyDescent="0.2">
      <c r="A27" s="1">
        <v>1</v>
      </c>
      <c r="B27">
        <f>F2*B15</f>
        <v>0.77639751552795022</v>
      </c>
      <c r="C27">
        <f>F2*C15</f>
        <v>0.36231884057971014</v>
      </c>
      <c r="D27">
        <f>F2*D15</f>
        <v>0.56935817805383016</v>
      </c>
    </row>
    <row r="28" spans="1:8" x14ac:dyDescent="0.2">
      <c r="A28" s="1">
        <v>2</v>
      </c>
      <c r="B28">
        <f>F3*B16</f>
        <v>0.39337474120082816</v>
      </c>
      <c r="C28">
        <f t="shared" ref="C28:C34" si="2">F3*C16</f>
        <v>0.55072463768115942</v>
      </c>
      <c r="D28">
        <f t="shared" ref="D28:D34" si="3">F3*D16</f>
        <v>0.19668737060041408</v>
      </c>
      <c r="F28" s="8" t="s">
        <v>19</v>
      </c>
      <c r="G28" s="9"/>
      <c r="H28" s="9"/>
    </row>
    <row r="29" spans="1:8" x14ac:dyDescent="0.2">
      <c r="A29" s="1">
        <v>3</v>
      </c>
      <c r="B29">
        <f t="shared" ref="B29:B34" si="4">F4*B17</f>
        <v>0.52173913043478259</v>
      </c>
      <c r="C29">
        <f t="shared" si="2"/>
        <v>0.60869565217391308</v>
      </c>
      <c r="D29">
        <f t="shared" si="3"/>
        <v>0.56521739130434778</v>
      </c>
      <c r="F29" s="9"/>
      <c r="G29" s="9"/>
      <c r="H29" s="9"/>
    </row>
    <row r="30" spans="1:8" x14ac:dyDescent="0.2">
      <c r="A30" s="1">
        <v>4</v>
      </c>
      <c r="B30">
        <f t="shared" si="4"/>
        <v>0.37267080745341613</v>
      </c>
      <c r="C30">
        <f t="shared" si="2"/>
        <v>0.6211180124223602</v>
      </c>
      <c r="D30">
        <f t="shared" si="3"/>
        <v>0.45548654244306414</v>
      </c>
      <c r="F30" s="9"/>
      <c r="G30" s="9"/>
      <c r="H30" s="9"/>
    </row>
    <row r="31" spans="1:8" x14ac:dyDescent="0.2">
      <c r="A31" s="1">
        <v>5</v>
      </c>
      <c r="B31">
        <f t="shared" si="4"/>
        <v>0.34161490683229812</v>
      </c>
      <c r="C31">
        <f t="shared" si="2"/>
        <v>0.43478260869565216</v>
      </c>
      <c r="D31">
        <f t="shared" si="3"/>
        <v>0.40372670807453409</v>
      </c>
      <c r="F31" s="9"/>
      <c r="G31" s="9"/>
      <c r="H31" s="9"/>
    </row>
    <row r="32" spans="1:8" x14ac:dyDescent="0.2">
      <c r="A32" s="1">
        <v>6</v>
      </c>
      <c r="B32">
        <f t="shared" si="4"/>
        <v>0.47204968944099379</v>
      </c>
      <c r="C32">
        <f t="shared" si="2"/>
        <v>0.35403726708074534</v>
      </c>
      <c r="D32">
        <f t="shared" si="3"/>
        <v>0.55072463768115942</v>
      </c>
      <c r="F32" s="9"/>
      <c r="G32" s="9"/>
      <c r="H32" s="9"/>
    </row>
    <row r="33" spans="1:4" x14ac:dyDescent="0.2">
      <c r="A33" s="1">
        <v>7</v>
      </c>
      <c r="B33">
        <f t="shared" si="4"/>
        <v>0.6149068322981367</v>
      </c>
      <c r="C33">
        <f t="shared" si="2"/>
        <v>0.78260869565217406</v>
      </c>
      <c r="D33">
        <f t="shared" si="3"/>
        <v>0.78260869565217406</v>
      </c>
    </row>
    <row r="34" spans="1:4" x14ac:dyDescent="0.2">
      <c r="A34" s="1">
        <v>8</v>
      </c>
      <c r="B34">
        <f t="shared" si="4"/>
        <v>0.37267080745341613</v>
      </c>
      <c r="C34">
        <f t="shared" si="2"/>
        <v>0.3105590062111801</v>
      </c>
      <c r="D34">
        <f t="shared" si="3"/>
        <v>0.40372670807453409</v>
      </c>
    </row>
    <row r="35" spans="1:4" x14ac:dyDescent="0.2">
      <c r="B35" s="2">
        <f>SUM(B27:B34)</f>
        <v>3.8654244306418213</v>
      </c>
      <c r="C35" s="2">
        <f t="shared" ref="C35:D35" si="5">SUM(C27:C34)</f>
        <v>4.0248447204968949</v>
      </c>
      <c r="D35" s="2">
        <f t="shared" si="5"/>
        <v>3.9275362318840576</v>
      </c>
    </row>
  </sheetData>
  <mergeCells count="9">
    <mergeCell ref="F28:H32"/>
    <mergeCell ref="A13:A14"/>
    <mergeCell ref="B13:B14"/>
    <mergeCell ref="C13:C14"/>
    <mergeCell ref="D13:D14"/>
    <mergeCell ref="A25:A26"/>
    <mergeCell ref="B25:B26"/>
    <mergeCell ref="C25:C26"/>
    <mergeCell ref="D25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D23-9F9D-954B-9331-974DD6C97754}">
  <dimension ref="A1:I18"/>
  <sheetViews>
    <sheetView tabSelected="1" zoomScale="150" workbookViewId="0">
      <selection activeCell="E13" sqref="E13"/>
    </sheetView>
  </sheetViews>
  <sheetFormatPr baseColWidth="10" defaultRowHeight="15" x14ac:dyDescent="0.2"/>
  <sheetData>
    <row r="1" spans="1:9" x14ac:dyDescent="0.2">
      <c r="B1" s="7" t="s">
        <v>27</v>
      </c>
      <c r="C1" s="7"/>
      <c r="D1" s="7"/>
      <c r="E1" s="7"/>
      <c r="F1" s="7"/>
      <c r="G1" s="14" t="s">
        <v>34</v>
      </c>
      <c r="H1" s="7" t="e" vm="1">
        <v>#VALUE!</v>
      </c>
      <c r="I1" s="7"/>
    </row>
    <row r="2" spans="1:9" x14ac:dyDescent="0.2"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14"/>
      <c r="H2" s="7"/>
      <c r="I2" s="7"/>
    </row>
    <row r="3" spans="1:9" x14ac:dyDescent="0.2">
      <c r="A3" t="s">
        <v>20</v>
      </c>
      <c r="B3">
        <v>1</v>
      </c>
      <c r="C3">
        <v>1</v>
      </c>
      <c r="D3">
        <v>5</v>
      </c>
      <c r="E3">
        <v>2</v>
      </c>
      <c r="F3">
        <v>1</v>
      </c>
      <c r="G3">
        <f>SUM(B3:F3)</f>
        <v>10</v>
      </c>
      <c r="H3" s="7">
        <f>(G3-$B$11)^2</f>
        <v>100</v>
      </c>
      <c r="I3" s="7"/>
    </row>
    <row r="4" spans="1:9" x14ac:dyDescent="0.2">
      <c r="A4" t="s">
        <v>21</v>
      </c>
      <c r="B4">
        <v>2</v>
      </c>
      <c r="C4">
        <v>2</v>
      </c>
      <c r="D4">
        <v>1</v>
      </c>
      <c r="E4">
        <v>1</v>
      </c>
      <c r="F4">
        <v>2</v>
      </c>
      <c r="G4">
        <f t="shared" ref="G4:G9" si="0">SUM(B4:F4)</f>
        <v>8</v>
      </c>
      <c r="H4" s="7">
        <f t="shared" ref="H4:H9" si="1">(G4-$B$11)^2</f>
        <v>144</v>
      </c>
      <c r="I4" s="7"/>
    </row>
    <row r="5" spans="1:9" x14ac:dyDescent="0.2">
      <c r="A5" t="s">
        <v>22</v>
      </c>
      <c r="B5">
        <v>6</v>
      </c>
      <c r="C5">
        <v>7</v>
      </c>
      <c r="D5">
        <v>6</v>
      </c>
      <c r="E5">
        <v>5</v>
      </c>
      <c r="F5">
        <v>6</v>
      </c>
      <c r="G5">
        <f t="shared" si="0"/>
        <v>30</v>
      </c>
      <c r="H5" s="7">
        <f t="shared" si="1"/>
        <v>100</v>
      </c>
      <c r="I5" s="7"/>
    </row>
    <row r="6" spans="1:9" x14ac:dyDescent="0.2">
      <c r="A6" t="s">
        <v>23</v>
      </c>
      <c r="B6">
        <v>4</v>
      </c>
      <c r="C6">
        <v>5</v>
      </c>
      <c r="D6">
        <v>4</v>
      </c>
      <c r="E6">
        <v>6</v>
      </c>
      <c r="F6">
        <v>4</v>
      </c>
      <c r="G6">
        <f t="shared" si="0"/>
        <v>23</v>
      </c>
      <c r="H6" s="7">
        <f t="shared" si="1"/>
        <v>9</v>
      </c>
      <c r="I6" s="7"/>
    </row>
    <row r="7" spans="1:9" x14ac:dyDescent="0.2">
      <c r="A7" t="s">
        <v>24</v>
      </c>
      <c r="B7">
        <v>7</v>
      </c>
      <c r="C7">
        <v>3</v>
      </c>
      <c r="D7">
        <v>2</v>
      </c>
      <c r="E7">
        <v>4</v>
      </c>
      <c r="F7">
        <v>5</v>
      </c>
      <c r="G7">
        <f t="shared" si="0"/>
        <v>21</v>
      </c>
      <c r="H7" s="7">
        <f t="shared" si="1"/>
        <v>1</v>
      </c>
      <c r="I7" s="7"/>
    </row>
    <row r="8" spans="1:9" x14ac:dyDescent="0.2">
      <c r="A8" t="s">
        <v>25</v>
      </c>
      <c r="B8">
        <v>3</v>
      </c>
      <c r="C8">
        <v>6</v>
      </c>
      <c r="D8">
        <v>7</v>
      </c>
      <c r="E8">
        <v>7</v>
      </c>
      <c r="F8">
        <v>7</v>
      </c>
      <c r="G8">
        <f t="shared" si="0"/>
        <v>30</v>
      </c>
      <c r="H8" s="7">
        <f t="shared" si="1"/>
        <v>100</v>
      </c>
      <c r="I8" s="7"/>
    </row>
    <row r="9" spans="1:9" x14ac:dyDescent="0.2">
      <c r="A9" t="s">
        <v>26</v>
      </c>
      <c r="B9">
        <v>5</v>
      </c>
      <c r="C9">
        <v>4</v>
      </c>
      <c r="D9">
        <v>3</v>
      </c>
      <c r="E9">
        <v>3</v>
      </c>
      <c r="F9">
        <v>3</v>
      </c>
      <c r="G9">
        <f t="shared" si="0"/>
        <v>18</v>
      </c>
      <c r="H9" s="7">
        <f t="shared" si="1"/>
        <v>4</v>
      </c>
      <c r="I9" s="7"/>
    </row>
    <row r="10" spans="1:9" x14ac:dyDescent="0.2">
      <c r="B10">
        <f>SUM(B3:B9)</f>
        <v>28</v>
      </c>
      <c r="C10">
        <f t="shared" ref="C10:F10" si="2">SUM(C3:C9)</f>
        <v>28</v>
      </c>
      <c r="D10">
        <f t="shared" si="2"/>
        <v>28</v>
      </c>
      <c r="E10">
        <f t="shared" si="2"/>
        <v>28</v>
      </c>
      <c r="F10">
        <f t="shared" si="2"/>
        <v>28</v>
      </c>
      <c r="G10" s="15">
        <f>SUM(B10:F10)</f>
        <v>140</v>
      </c>
      <c r="H10" s="16">
        <f>SUM(H3:I9)</f>
        <v>458</v>
      </c>
      <c r="I10" s="16"/>
    </row>
    <row r="11" spans="1:9" ht="17" x14ac:dyDescent="0.25">
      <c r="A11" t="s">
        <v>33</v>
      </c>
      <c r="B11" s="15">
        <f>G10/7</f>
        <v>20</v>
      </c>
    </row>
    <row r="14" spans="1:9" x14ac:dyDescent="0.2">
      <c r="A14" s="7" t="e" vm="2">
        <v>#VALUE!</v>
      </c>
      <c r="B14" s="7"/>
      <c r="C14" s="17">
        <f>(12*H10)/(B16^2*(B17^3 - B17))</f>
        <v>0.65428571428571425</v>
      </c>
      <c r="E14" s="7" t="e" vm="3">
        <v>#VALUE!</v>
      </c>
      <c r="F14" s="7"/>
      <c r="G14" s="7"/>
      <c r="H14" s="7"/>
      <c r="I14" s="15">
        <f>B16*(B17-1)*C14</f>
        <v>19.628571428571426</v>
      </c>
    </row>
    <row r="15" spans="1:9" x14ac:dyDescent="0.2">
      <c r="A15" s="7"/>
      <c r="B15" s="7"/>
      <c r="C15" s="17"/>
      <c r="E15" s="7"/>
      <c r="F15" s="7"/>
      <c r="G15" s="7"/>
      <c r="H15" s="7"/>
      <c r="I15" t="s">
        <v>40</v>
      </c>
    </row>
    <row r="16" spans="1:9" x14ac:dyDescent="0.2">
      <c r="A16" s="3" t="s">
        <v>35</v>
      </c>
      <c r="B16" s="3">
        <v>5</v>
      </c>
      <c r="E16" s="7"/>
      <c r="F16" s="7"/>
      <c r="G16" s="7"/>
      <c r="H16" s="7"/>
      <c r="I16" t="s">
        <v>37</v>
      </c>
    </row>
    <row r="17" spans="1:9" x14ac:dyDescent="0.2">
      <c r="A17" s="3" t="s">
        <v>36</v>
      </c>
      <c r="B17" s="3">
        <v>7</v>
      </c>
      <c r="E17" s="7"/>
      <c r="F17" s="7"/>
      <c r="G17" s="7"/>
      <c r="H17" s="7"/>
      <c r="I17" t="s">
        <v>38</v>
      </c>
    </row>
    <row r="18" spans="1:9" x14ac:dyDescent="0.2">
      <c r="E18" s="7"/>
      <c r="F18" s="7"/>
      <c r="G18" s="7"/>
      <c r="H18" s="7"/>
      <c r="I18" t="s">
        <v>39</v>
      </c>
    </row>
  </sheetData>
  <mergeCells count="14">
    <mergeCell ref="H6:I6"/>
    <mergeCell ref="H7:I7"/>
    <mergeCell ref="H8:I8"/>
    <mergeCell ref="H9:I9"/>
    <mergeCell ref="H10:I10"/>
    <mergeCell ref="A14:B15"/>
    <mergeCell ref="C14:C15"/>
    <mergeCell ref="E14:H18"/>
    <mergeCell ref="B1:F1"/>
    <mergeCell ref="G1:G2"/>
    <mergeCell ref="H1:I2"/>
    <mergeCell ref="H3:I3"/>
    <mergeCell ref="H4:I4"/>
    <mergeCell ref="H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 (в2)</vt:lpstr>
      <vt:lpstr>Задание 2 (в2)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Королёв</dc:creator>
  <cp:lastModifiedBy>e314</cp:lastModifiedBy>
  <dcterms:created xsi:type="dcterms:W3CDTF">2015-06-05T18:19:34Z</dcterms:created>
  <dcterms:modified xsi:type="dcterms:W3CDTF">2025-12-14T12:56:07Z</dcterms:modified>
</cp:coreProperties>
</file>