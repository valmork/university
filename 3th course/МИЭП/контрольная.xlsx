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jsh\Desktop\university\3th course\МИЭП\"/>
    </mc:Choice>
  </mc:AlternateContent>
  <xr:revisionPtr revIDLastSave="0" documentId="13_ncr:1_{8CC7929C-1D91-4EE2-9C58-D4ED5AD320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Задание 1" sheetId="1" r:id="rId1"/>
    <sheet name="Задание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2" i="1"/>
  <c r="D2" i="1"/>
  <c r="D3" i="1"/>
  <c r="D4" i="1"/>
  <c r="D5" i="1"/>
  <c r="D6" i="1"/>
  <c r="D7" i="1"/>
  <c r="D8" i="1"/>
  <c r="D9" i="1"/>
  <c r="D10" i="1"/>
  <c r="D11" i="1"/>
  <c r="D12" i="1"/>
  <c r="D13" i="1"/>
  <c r="G2" i="1"/>
  <c r="F2" i="1"/>
  <c r="E2" i="1"/>
</calcChain>
</file>

<file path=xl/sharedStrings.xml><?xml version="1.0" encoding="utf-8"?>
<sst xmlns="http://schemas.openxmlformats.org/spreadsheetml/2006/main" count="12" uniqueCount="12">
  <si>
    <t>Магазины</t>
  </si>
  <si>
    <t>Оборот</t>
  </si>
  <si>
    <t>Прибыль</t>
  </si>
  <si>
    <t>b</t>
  </si>
  <si>
    <t>a</t>
  </si>
  <si>
    <t>Коэффициент корреляции</t>
  </si>
  <si>
    <t>Относительная ошибка</t>
  </si>
  <si>
    <t>Средняя относительная ошибка, %</t>
  </si>
  <si>
    <t>Прогноз прибыли</t>
  </si>
  <si>
    <t>Y(t)</t>
  </si>
  <si>
    <t>t</t>
  </si>
  <si>
    <t>Ŷ(t)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</si>
</sst>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Линия</a:t>
            </a:r>
            <a:r>
              <a:rPr lang="ru-RU" baseline="0"/>
              <a:t> тренда и зависимость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прибыль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643219597550306E-2"/>
                  <c:y val="-2.79556722076407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'Задание 1'!$B$2:$B$13</c:f>
              <c:numCache>
                <c:formatCode>General</c:formatCode>
                <c:ptCount val="12"/>
                <c:pt idx="0">
                  <c:v>50</c:v>
                </c:pt>
                <c:pt idx="1">
                  <c:v>60</c:v>
                </c:pt>
                <c:pt idx="2">
                  <c:v>85</c:v>
                </c:pt>
                <c:pt idx="3">
                  <c:v>85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155</c:v>
                </c:pt>
                <c:pt idx="8">
                  <c:v>180</c:v>
                </c:pt>
                <c:pt idx="9">
                  <c:v>210</c:v>
                </c:pt>
                <c:pt idx="10">
                  <c:v>250</c:v>
                </c:pt>
                <c:pt idx="11">
                  <c:v>300</c:v>
                </c:pt>
              </c:numCache>
            </c:numRef>
          </c:xVal>
          <c:yVal>
            <c:numRef>
              <c:f>'Задание 1'!$C$2:$C$13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17</c:v>
                </c:pt>
                <c:pt idx="4">
                  <c:v>18</c:v>
                </c:pt>
                <c:pt idx="5">
                  <c:v>28</c:v>
                </c:pt>
                <c:pt idx="6">
                  <c:v>34</c:v>
                </c:pt>
                <c:pt idx="7">
                  <c:v>36</c:v>
                </c:pt>
                <c:pt idx="8">
                  <c:v>48</c:v>
                </c:pt>
                <c:pt idx="9">
                  <c:v>55</c:v>
                </c:pt>
                <c:pt idx="10">
                  <c:v>71</c:v>
                </c:pt>
                <c:pt idx="11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6-4306-B81E-415D856A7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80592"/>
        <c:axId val="551271472"/>
      </c:scatterChart>
      <c:valAx>
        <c:axId val="5512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271472"/>
        <c:crosses val="autoZero"/>
        <c:crossBetween val="midCat"/>
      </c:valAx>
      <c:valAx>
        <c:axId val="5512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2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фактических значений и прогнозируемых (прибыль)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Фактическое значение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'Задание 1'!$C$2:$C$13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17</c:v>
                </c:pt>
                <c:pt idx="4">
                  <c:v>18</c:v>
                </c:pt>
                <c:pt idx="5">
                  <c:v>28</c:v>
                </c:pt>
                <c:pt idx="6">
                  <c:v>34</c:v>
                </c:pt>
                <c:pt idx="7">
                  <c:v>36</c:v>
                </c:pt>
                <c:pt idx="8">
                  <c:v>48</c:v>
                </c:pt>
                <c:pt idx="9">
                  <c:v>55</c:v>
                </c:pt>
                <c:pt idx="10">
                  <c:v>71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4-4726-B917-B4BCAE6984E2}"/>
            </c:ext>
          </c:extLst>
        </c:ser>
        <c:ser>
          <c:idx val="1"/>
          <c:order val="1"/>
          <c:tx>
            <c:v>Прогнозируемое значение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'Задание 1'!$D$2:$D$13</c:f>
              <c:numCache>
                <c:formatCode>General</c:formatCode>
                <c:ptCount val="12"/>
                <c:pt idx="0">
                  <c:v>2.152340212945326</c:v>
                </c:pt>
                <c:pt idx="1">
                  <c:v>5.5283042432947198</c:v>
                </c:pt>
                <c:pt idx="2">
                  <c:v>13.968214319168201</c:v>
                </c:pt>
                <c:pt idx="3">
                  <c:v>13.968214319168201</c:v>
                </c:pt>
                <c:pt idx="4">
                  <c:v>19.032160364692288</c:v>
                </c:pt>
                <c:pt idx="5">
                  <c:v>25.784088425391076</c:v>
                </c:pt>
                <c:pt idx="6">
                  <c:v>32.536016486089864</c:v>
                </c:pt>
                <c:pt idx="7">
                  <c:v>37.599962531613947</c:v>
                </c:pt>
                <c:pt idx="8">
                  <c:v>46.039872607487432</c:v>
                </c:pt>
                <c:pt idx="9">
                  <c:v>56.167764698535606</c:v>
                </c:pt>
                <c:pt idx="10">
                  <c:v>69.671620819933182</c:v>
                </c:pt>
                <c:pt idx="11">
                  <c:v>86.551440971680137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74-4726-B917-B4BCAE698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278672"/>
        <c:axId val="551277712"/>
      </c:lineChart>
      <c:catAx>
        <c:axId val="55127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277712"/>
        <c:crosses val="autoZero"/>
        <c:auto val="1"/>
        <c:lblAlgn val="ctr"/>
        <c:lblOffset val="100"/>
        <c:noMultiLvlLbl val="0"/>
      </c:catAx>
      <c:valAx>
        <c:axId val="5512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27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17</xdr:row>
      <xdr:rowOff>23812</xdr:rowOff>
    </xdr:from>
    <xdr:to>
      <xdr:col>6</xdr:col>
      <xdr:colOff>1019175</xdr:colOff>
      <xdr:row>31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C65BB5D-B14F-0AB9-6D29-FE8C08F98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1595437</xdr:colOff>
      <xdr:row>17</xdr:row>
      <xdr:rowOff>23812</xdr:rowOff>
    </xdr:from>
    <xdr:to>
      <xdr:col>10</xdr:col>
      <xdr:colOff>109537</xdr:colOff>
      <xdr:row>31</xdr:row>
      <xdr:rowOff>100012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EA340F3-7BD7-637B-BAB7-F96A2449D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N24" sqref="N24"/>
    </sheetView>
  </sheetViews>
  <sheetFormatPr defaultRowHeight="15" x14ac:dyDescent="0.25"/>
  <cols>
    <col min="1" max="1" width="10" bestFit="1" customWidth="1"/>
    <col min="2" max="2" width="7.85546875" bestFit="1" customWidth="1"/>
    <col min="3" max="3" width="9.28515625" bestFit="1" customWidth="1"/>
    <col min="4" max="4" width="17.42578125" bestFit="1" customWidth="1"/>
    <col min="7" max="7" width="25.5703125" bestFit="1" customWidth="1"/>
    <col min="8" max="8" width="22.7109375" bestFit="1" customWidth="1"/>
    <col min="9" max="9" width="3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1">
        <v>50</v>
      </c>
      <c r="C2" s="1">
        <v>2</v>
      </c>
      <c r="D2" s="1">
        <f>$F$2 + $E$2*B2</f>
        <v>2.152340212945326</v>
      </c>
      <c r="E2" s="1">
        <f>SLOPE(C2:C13,B2:B13)</f>
        <v>0.33759640303493926</v>
      </c>
      <c r="F2" s="1">
        <f>INTERCEPT(C2:C13,B2:B13)</f>
        <v>-14.727479938801636</v>
      </c>
      <c r="G2" s="1">
        <f>CORREL(B2:B13,C2:C13)</f>
        <v>0.99735310497191221</v>
      </c>
      <c r="H2" s="1">
        <f>ABS((C2-D2)/C2)</f>
        <v>7.617010647266298E-2</v>
      </c>
      <c r="I2" s="1">
        <f>AVERAGE(H2:H13)*100</f>
        <v>10.245314467769175</v>
      </c>
    </row>
    <row r="3" spans="1:9" x14ac:dyDescent="0.25">
      <c r="A3" s="1">
        <v>2</v>
      </c>
      <c r="B3" s="1">
        <v>60</v>
      </c>
      <c r="C3" s="1">
        <v>4</v>
      </c>
      <c r="D3" s="1">
        <f t="shared" ref="D3:D13" si="0">$F$2 + $E$2*B3</f>
        <v>5.5283042432947198</v>
      </c>
      <c r="E3" s="1"/>
      <c r="F3" s="1"/>
      <c r="G3" s="1"/>
      <c r="H3" s="1">
        <f t="shared" ref="H3:H13" si="1">ABS((C3-D3)/C3)</f>
        <v>0.38207606082367995</v>
      </c>
      <c r="I3" s="1"/>
    </row>
    <row r="4" spans="1:9" x14ac:dyDescent="0.25">
      <c r="A4" s="1">
        <v>3</v>
      </c>
      <c r="B4" s="1">
        <v>85</v>
      </c>
      <c r="C4" s="1">
        <v>11</v>
      </c>
      <c r="D4" s="1">
        <f t="shared" si="0"/>
        <v>13.968214319168201</v>
      </c>
      <c r="E4" s="1"/>
      <c r="F4" s="1"/>
      <c r="G4" s="1"/>
      <c r="H4" s="1">
        <f t="shared" si="1"/>
        <v>0.26983766537892734</v>
      </c>
      <c r="I4" s="1"/>
    </row>
    <row r="5" spans="1:9" x14ac:dyDescent="0.25">
      <c r="A5" s="1">
        <v>4</v>
      </c>
      <c r="B5" s="1">
        <v>85</v>
      </c>
      <c r="C5" s="1">
        <v>17</v>
      </c>
      <c r="D5" s="1">
        <f t="shared" si="0"/>
        <v>13.968214319168201</v>
      </c>
      <c r="E5" s="1"/>
      <c r="F5" s="1"/>
      <c r="G5" s="1"/>
      <c r="H5" s="1">
        <f t="shared" si="1"/>
        <v>0.17834033416657641</v>
      </c>
      <c r="I5" s="1"/>
    </row>
    <row r="6" spans="1:9" x14ac:dyDescent="0.25">
      <c r="A6" s="1">
        <v>5</v>
      </c>
      <c r="B6" s="1">
        <v>100</v>
      </c>
      <c r="C6" s="1">
        <v>18</v>
      </c>
      <c r="D6" s="1">
        <f t="shared" si="0"/>
        <v>19.032160364692288</v>
      </c>
      <c r="E6" s="1"/>
      <c r="F6" s="1"/>
      <c r="G6" s="1"/>
      <c r="H6" s="1">
        <f t="shared" si="1"/>
        <v>5.7342242482904898E-2</v>
      </c>
      <c r="I6" s="1"/>
    </row>
    <row r="7" spans="1:9" x14ac:dyDescent="0.25">
      <c r="A7" s="1">
        <v>6</v>
      </c>
      <c r="B7" s="1">
        <v>120</v>
      </c>
      <c r="C7" s="1">
        <v>28</v>
      </c>
      <c r="D7" s="1">
        <f t="shared" si="0"/>
        <v>25.784088425391076</v>
      </c>
      <c r="E7" s="1"/>
      <c r="F7" s="1"/>
      <c r="G7" s="1"/>
      <c r="H7" s="1">
        <f t="shared" si="1"/>
        <v>7.9139699093175864E-2</v>
      </c>
      <c r="I7" s="1"/>
    </row>
    <row r="8" spans="1:9" x14ac:dyDescent="0.25">
      <c r="A8" s="1">
        <v>7</v>
      </c>
      <c r="B8" s="1">
        <v>140</v>
      </c>
      <c r="C8" s="1">
        <v>34</v>
      </c>
      <c r="D8" s="1">
        <f t="shared" si="0"/>
        <v>32.536016486089864</v>
      </c>
      <c r="E8" s="1"/>
      <c r="F8" s="1"/>
      <c r="G8" s="1"/>
      <c r="H8" s="1">
        <f t="shared" si="1"/>
        <v>4.3058338644415779E-2</v>
      </c>
      <c r="I8" s="1"/>
    </row>
    <row r="9" spans="1:9" x14ac:dyDescent="0.25">
      <c r="A9" s="1">
        <v>8</v>
      </c>
      <c r="B9" s="1">
        <v>155</v>
      </c>
      <c r="C9" s="1">
        <v>36</v>
      </c>
      <c r="D9" s="1">
        <f t="shared" si="0"/>
        <v>37.599962531613947</v>
      </c>
      <c r="E9" s="1"/>
      <c r="F9" s="1"/>
      <c r="G9" s="1"/>
      <c r="H9" s="1">
        <f t="shared" si="1"/>
        <v>4.444340365594298E-2</v>
      </c>
      <c r="I9" s="1"/>
    </row>
    <row r="10" spans="1:9" x14ac:dyDescent="0.25">
      <c r="A10" s="1">
        <v>9</v>
      </c>
      <c r="B10" s="1">
        <v>180</v>
      </c>
      <c r="C10" s="1">
        <v>48</v>
      </c>
      <c r="D10" s="1">
        <f t="shared" si="0"/>
        <v>46.039872607487432</v>
      </c>
      <c r="E10" s="1"/>
      <c r="F10" s="1"/>
      <c r="G10" s="1"/>
      <c r="H10" s="1">
        <f t="shared" si="1"/>
        <v>4.0835987344011837E-2</v>
      </c>
      <c r="I10" s="1"/>
    </row>
    <row r="11" spans="1:9" x14ac:dyDescent="0.25">
      <c r="A11" s="1">
        <v>10</v>
      </c>
      <c r="B11" s="1">
        <v>210</v>
      </c>
      <c r="C11" s="1">
        <v>55</v>
      </c>
      <c r="D11" s="1">
        <f t="shared" si="0"/>
        <v>56.167764698535606</v>
      </c>
      <c r="E11" s="1"/>
      <c r="F11" s="1"/>
      <c r="G11" s="1"/>
      <c r="H11" s="1">
        <f t="shared" si="1"/>
        <v>2.1232085427920114E-2</v>
      </c>
      <c r="I11" s="1"/>
    </row>
    <row r="12" spans="1:9" x14ac:dyDescent="0.25">
      <c r="A12" s="1">
        <v>11</v>
      </c>
      <c r="B12" s="1">
        <v>250</v>
      </c>
      <c r="C12" s="1">
        <v>71</v>
      </c>
      <c r="D12" s="1">
        <f t="shared" si="0"/>
        <v>69.671620819933182</v>
      </c>
      <c r="E12" s="1"/>
      <c r="F12" s="1"/>
      <c r="G12" s="1"/>
      <c r="H12" s="1">
        <f t="shared" si="1"/>
        <v>1.8709565916434061E-2</v>
      </c>
      <c r="I12" s="1"/>
    </row>
    <row r="13" spans="1:9" x14ac:dyDescent="0.25">
      <c r="A13" s="1">
        <v>12</v>
      </c>
      <c r="B13" s="1">
        <v>300</v>
      </c>
      <c r="C13" s="1">
        <v>85</v>
      </c>
      <c r="D13" s="1">
        <f t="shared" si="0"/>
        <v>86.551440971680137</v>
      </c>
      <c r="E13" s="1"/>
      <c r="F13" s="1"/>
      <c r="G13" s="1"/>
      <c r="H13" s="1">
        <f t="shared" si="1"/>
        <v>1.8252246725648666E-2</v>
      </c>
      <c r="I1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981A-6B70-492E-855F-F6A0B394F30D}">
  <dimension ref="A1:C16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10</v>
      </c>
      <c r="B1" t="s">
        <v>9</v>
      </c>
      <c r="C1" t="s">
        <v>11</v>
      </c>
    </row>
    <row r="2" spans="1:3" x14ac:dyDescent="0.25">
      <c r="A2">
        <v>1</v>
      </c>
      <c r="B2">
        <v>6</v>
      </c>
    </row>
    <row r="3" spans="1:3" x14ac:dyDescent="0.25">
      <c r="A3">
        <v>2</v>
      </c>
      <c r="B3">
        <v>10</v>
      </c>
    </row>
    <row r="4" spans="1:3" x14ac:dyDescent="0.25">
      <c r="A4">
        <v>3</v>
      </c>
      <c r="B4">
        <v>8</v>
      </c>
    </row>
    <row r="5" spans="1:3" x14ac:dyDescent="0.25">
      <c r="A5">
        <v>4</v>
      </c>
      <c r="B5">
        <v>13</v>
      </c>
    </row>
    <row r="6" spans="1:3" x14ac:dyDescent="0.25">
      <c r="A6">
        <v>5</v>
      </c>
      <c r="B6">
        <v>15</v>
      </c>
    </row>
    <row r="7" spans="1:3" x14ac:dyDescent="0.25">
      <c r="A7">
        <v>6</v>
      </c>
      <c r="B7">
        <v>19</v>
      </c>
    </row>
    <row r="8" spans="1:3" x14ac:dyDescent="0.25">
      <c r="A8">
        <v>7</v>
      </c>
      <c r="B8">
        <v>25</v>
      </c>
    </row>
    <row r="9" spans="1:3" x14ac:dyDescent="0.25">
      <c r="A9">
        <v>8</v>
      </c>
      <c r="B9">
        <v>27</v>
      </c>
    </row>
    <row r="10" spans="1:3" x14ac:dyDescent="0.25">
      <c r="A10">
        <v>9</v>
      </c>
      <c r="B10">
        <v>33</v>
      </c>
    </row>
    <row r="11" spans="1:3" x14ac:dyDescent="0.25">
      <c r="A11">
        <v>10</v>
      </c>
      <c r="B11">
        <v>35</v>
      </c>
    </row>
    <row r="12" spans="1:3" x14ac:dyDescent="0.25">
      <c r="A12">
        <v>11</v>
      </c>
      <c r="B12">
        <v>40</v>
      </c>
    </row>
    <row r="13" spans="1:3" x14ac:dyDescent="0.25">
      <c r="A13">
        <v>12</v>
      </c>
      <c r="B13">
        <v>47</v>
      </c>
    </row>
    <row r="14" spans="1:3" x14ac:dyDescent="0.25">
      <c r="A14">
        <v>13</v>
      </c>
      <c r="B14">
        <v>45</v>
      </c>
    </row>
    <row r="15" spans="1:3" x14ac:dyDescent="0.25">
      <c r="A15">
        <v>14</v>
      </c>
      <c r="B15">
        <v>41</v>
      </c>
    </row>
    <row r="16" spans="1:3" x14ac:dyDescent="0.25">
      <c r="A16">
        <v>15</v>
      </c>
      <c r="B1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Королёв</dc:creator>
  <cp:lastModifiedBy>Антон Королёв</cp:lastModifiedBy>
  <dcterms:created xsi:type="dcterms:W3CDTF">2015-06-05T18:19:34Z</dcterms:created>
  <dcterms:modified xsi:type="dcterms:W3CDTF">2025-11-25T20:09:52Z</dcterms:modified>
</cp:coreProperties>
</file>