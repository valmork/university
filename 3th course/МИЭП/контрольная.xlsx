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3"/>
  <workbookPr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13_ncr:1_{F82AC983-D83E-5642-83C7-413868BB0515}" xr6:coauthVersionLast="47" xr6:coauthVersionMax="47" xr10:uidLastSave="{00000000-0000-0000-0000-000000000000}"/>
  <bookViews>
    <workbookView xWindow="0" yWindow="660" windowWidth="29400" windowHeight="18460" activeTab="2" xr2:uid="{00000000-000D-0000-FFFF-FFFF00000000}"/>
  </bookViews>
  <sheets>
    <sheet name="Задание 1" sheetId="1" r:id="rId1"/>
    <sheet name="Задание 2" sheetId="2" r:id="rId2"/>
    <sheet name="Задание 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3" l="1"/>
  <c r="D35" i="3"/>
  <c r="B35" i="3"/>
  <c r="D28" i="3"/>
  <c r="D29" i="3"/>
  <c r="D30" i="3"/>
  <c r="D31" i="3"/>
  <c r="D32" i="3"/>
  <c r="D33" i="3"/>
  <c r="D34" i="3"/>
  <c r="D27" i="3"/>
  <c r="C28" i="3"/>
  <c r="C29" i="3"/>
  <c r="C30" i="3"/>
  <c r="C31" i="3"/>
  <c r="C32" i="3"/>
  <c r="C33" i="3"/>
  <c r="C34" i="3"/>
  <c r="C27" i="3"/>
  <c r="B29" i="3"/>
  <c r="B30" i="3"/>
  <c r="B31" i="3"/>
  <c r="B32" i="3"/>
  <c r="B33" i="3"/>
  <c r="B34" i="3"/>
  <c r="B28" i="3"/>
  <c r="B27" i="3"/>
  <c r="D22" i="3"/>
  <c r="D21" i="3"/>
  <c r="D20" i="3"/>
  <c r="D19" i="3"/>
  <c r="D18" i="3"/>
  <c r="D17" i="3"/>
  <c r="D16" i="3"/>
  <c r="D15" i="3"/>
  <c r="C22" i="3"/>
  <c r="C21" i="3"/>
  <c r="C20" i="3"/>
  <c r="C19" i="3"/>
  <c r="C18" i="3"/>
  <c r="C17" i="3"/>
  <c r="C16" i="3"/>
  <c r="C15" i="3"/>
  <c r="B20" i="3"/>
  <c r="B22" i="3"/>
  <c r="B21" i="3"/>
  <c r="B19" i="3"/>
  <c r="B18" i="3"/>
  <c r="B17" i="3"/>
  <c r="B16" i="3"/>
  <c r="B15" i="3"/>
  <c r="F10" i="3"/>
  <c r="F3" i="3"/>
  <c r="F4" i="3"/>
  <c r="F5" i="3"/>
  <c r="F6" i="3"/>
  <c r="F7" i="3"/>
  <c r="F8" i="3"/>
  <c r="F9" i="3"/>
  <c r="F2" i="3"/>
  <c r="E10" i="3"/>
  <c r="E3" i="3"/>
  <c r="E4" i="3"/>
  <c r="E5" i="3"/>
  <c r="E6" i="3"/>
  <c r="E7" i="3"/>
  <c r="E8" i="3"/>
  <c r="E9" i="3"/>
  <c r="E2" i="3"/>
  <c r="L26" i="2"/>
  <c r="L25" i="2"/>
  <c r="K26" i="2"/>
  <c r="K25" i="2"/>
  <c r="L23" i="2"/>
  <c r="G26" i="2"/>
  <c r="G25" i="2"/>
  <c r="G24" i="2"/>
  <c r="H24" i="2"/>
  <c r="B28" i="2"/>
  <c r="B27" i="2"/>
  <c r="C20" i="2"/>
  <c r="Q2" i="2"/>
  <c r="L17" i="2"/>
  <c r="K17" i="2"/>
  <c r="J17" i="2"/>
  <c r="H17" i="2"/>
  <c r="A17" i="2"/>
  <c r="M3" i="2"/>
  <c r="M4" i="2"/>
  <c r="M5" i="2"/>
  <c r="M6" i="2"/>
  <c r="M7" i="2"/>
  <c r="M8" i="2"/>
  <c r="M9" i="2"/>
  <c r="M10" i="2"/>
  <c r="M11" i="2"/>
  <c r="M12" i="2"/>
  <c r="N12" i="2" s="1"/>
  <c r="M13" i="2"/>
  <c r="M14" i="2"/>
  <c r="M15" i="2"/>
  <c r="M16" i="2"/>
  <c r="M2" i="2"/>
  <c r="N2" i="2" s="1"/>
  <c r="N3" i="2"/>
  <c r="N4" i="2"/>
  <c r="P2" i="2"/>
  <c r="O4" i="2"/>
  <c r="O5" i="2"/>
  <c r="O6" i="2"/>
  <c r="O7" i="2"/>
  <c r="O8" i="2"/>
  <c r="O9" i="2"/>
  <c r="O10" i="2"/>
  <c r="O11" i="2"/>
  <c r="O12" i="2"/>
  <c r="O13" i="2"/>
  <c r="O14" i="2"/>
  <c r="O15" i="2"/>
  <c r="O3" i="2"/>
  <c r="N5" i="2"/>
  <c r="N6" i="2"/>
  <c r="N7" i="2"/>
  <c r="N8" i="2"/>
  <c r="N9" i="2"/>
  <c r="N10" i="2"/>
  <c r="N11" i="2"/>
  <c r="N13" i="2"/>
  <c r="N14" i="2"/>
  <c r="N15" i="2"/>
  <c r="N16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3" i="2"/>
  <c r="E2" i="2" l="1"/>
  <c r="F4" i="2" s="1"/>
  <c r="G4" i="2" s="1"/>
  <c r="D2" i="2"/>
  <c r="L4" i="2" l="1"/>
  <c r="H4" i="2"/>
  <c r="F13" i="2"/>
  <c r="G13" i="2" s="1"/>
  <c r="F12" i="2"/>
  <c r="G12" i="2" s="1"/>
  <c r="F10" i="2"/>
  <c r="G10" i="2" s="1"/>
  <c r="F9" i="2"/>
  <c r="G9" i="2" s="1"/>
  <c r="F8" i="2"/>
  <c r="G8" i="2" s="1"/>
  <c r="F5" i="2"/>
  <c r="G5" i="2" s="1"/>
  <c r="F3" i="2"/>
  <c r="G3" i="2" s="1"/>
  <c r="I4" i="2" s="1"/>
  <c r="J4" i="2" s="1"/>
  <c r="F11" i="2"/>
  <c r="G11" i="2" s="1"/>
  <c r="F2" i="2"/>
  <c r="G2" i="2" s="1"/>
  <c r="F7" i="2"/>
  <c r="G7" i="2" s="1"/>
  <c r="F16" i="2"/>
  <c r="G16" i="2" s="1"/>
  <c r="F6" i="2"/>
  <c r="G6" i="2" s="1"/>
  <c r="F15" i="2"/>
  <c r="G15" i="2" s="1"/>
  <c r="F14" i="2"/>
  <c r="G14" i="2" s="1"/>
  <c r="I2" i="1"/>
  <c r="H3" i="1"/>
  <c r="H4" i="1"/>
  <c r="H5" i="1"/>
  <c r="H6" i="1"/>
  <c r="H7" i="1"/>
  <c r="H8" i="1"/>
  <c r="H9" i="1"/>
  <c r="H10" i="1"/>
  <c r="H11" i="1"/>
  <c r="H12" i="1"/>
  <c r="H13" i="1"/>
  <c r="H2" i="1"/>
  <c r="D2" i="1"/>
  <c r="D3" i="1"/>
  <c r="D4" i="1"/>
  <c r="D5" i="1"/>
  <c r="D6" i="1"/>
  <c r="D7" i="1"/>
  <c r="D8" i="1"/>
  <c r="D9" i="1"/>
  <c r="D10" i="1"/>
  <c r="D11" i="1"/>
  <c r="D12" i="1"/>
  <c r="D13" i="1"/>
  <c r="G2" i="1"/>
  <c r="F2" i="1"/>
  <c r="E2" i="1"/>
  <c r="L15" i="2" l="1"/>
  <c r="K15" i="2"/>
  <c r="I15" i="2"/>
  <c r="J15" i="2" s="1"/>
  <c r="H15" i="2"/>
  <c r="I5" i="2"/>
  <c r="J5" i="2" s="1"/>
  <c r="L5" i="2"/>
  <c r="K5" i="2"/>
  <c r="H5" i="2"/>
  <c r="L14" i="2"/>
  <c r="I14" i="2"/>
  <c r="J14" i="2" s="1"/>
  <c r="K14" i="2"/>
  <c r="H14" i="2"/>
  <c r="K16" i="2"/>
  <c r="L16" i="2"/>
  <c r="I16" i="2"/>
  <c r="J16" i="2" s="1"/>
  <c r="H16" i="2"/>
  <c r="H2" i="2"/>
  <c r="L2" i="2"/>
  <c r="K4" i="2"/>
  <c r="K9" i="2"/>
  <c r="L9" i="2"/>
  <c r="I9" i="2"/>
  <c r="J9" i="2" s="1"/>
  <c r="H9" i="2"/>
  <c r="I6" i="2"/>
  <c r="J6" i="2" s="1"/>
  <c r="L6" i="2"/>
  <c r="K6" i="2"/>
  <c r="H6" i="2"/>
  <c r="K7" i="2"/>
  <c r="I7" i="2"/>
  <c r="J7" i="2" s="1"/>
  <c r="L7" i="2"/>
  <c r="H7" i="2"/>
  <c r="I11" i="2"/>
  <c r="J11" i="2" s="1"/>
  <c r="L11" i="2"/>
  <c r="K11" i="2"/>
  <c r="H11" i="2"/>
  <c r="K8" i="2"/>
  <c r="L8" i="2"/>
  <c r="I8" i="2"/>
  <c r="J8" i="2" s="1"/>
  <c r="H8" i="2"/>
  <c r="I10" i="2"/>
  <c r="J10" i="2" s="1"/>
  <c r="K10" i="2"/>
  <c r="L10" i="2"/>
  <c r="H10" i="2"/>
  <c r="I12" i="2"/>
  <c r="J12" i="2" s="1"/>
  <c r="K12" i="2"/>
  <c r="L12" i="2"/>
  <c r="H12" i="2"/>
  <c r="L13" i="2"/>
  <c r="I13" i="2"/>
  <c r="J13" i="2" s="1"/>
  <c r="K13" i="2"/>
  <c r="H13" i="2"/>
  <c r="L3" i="2"/>
  <c r="H3" i="2"/>
  <c r="I3" i="2"/>
  <c r="J3" i="2" s="1"/>
  <c r="K3" i="2"/>
</calcChain>
</file>

<file path=xl/sharedStrings.xml><?xml version="1.0" encoding="utf-8"?>
<sst xmlns="http://schemas.openxmlformats.org/spreadsheetml/2006/main" count="67" uniqueCount="61">
  <si>
    <t>Магазины</t>
  </si>
  <si>
    <t>Оборот</t>
  </si>
  <si>
    <t>Прибыль</t>
  </si>
  <si>
    <t>b</t>
  </si>
  <si>
    <t>a</t>
  </si>
  <si>
    <t>Коэффициент корреляции</t>
  </si>
  <si>
    <t>Относительная ошибка</t>
  </si>
  <si>
    <t>Средняя относительная ошибка, %</t>
  </si>
  <si>
    <t>Прогноз прибыли</t>
  </si>
  <si>
    <t>Y(t)</t>
  </si>
  <si>
    <t>t</t>
  </si>
  <si>
    <t>-</t>
  </si>
  <si>
    <t>a₁</t>
  </si>
  <si>
    <t xml:space="preserve">a₀ </t>
  </si>
  <si>
    <r>
      <t>e</t>
    </r>
    <r>
      <rPr>
        <vertAlign val="subscript"/>
        <sz val="12"/>
        <color rgb="FF0F1115"/>
        <rFont val="Calibri (Основной текст)"/>
        <charset val="204"/>
      </rPr>
      <t>t</t>
    </r>
    <r>
      <rPr>
        <sz val="12"/>
        <color rgb="FF0F1115"/>
        <rFont val="Calibri"/>
        <family val="2"/>
        <scheme val="minor"/>
      </rPr>
      <t xml:space="preserve"> = Y(t) - Ŷ(t) </t>
    </r>
  </si>
  <si>
    <r>
      <t>(</t>
    </r>
    <r>
      <rPr>
        <vertAlign val="superscript"/>
        <sz val="11"/>
        <color theme="1"/>
        <rFont val="Calibri (Основной текст)"/>
        <charset val="204"/>
      </rPr>
      <t xml:space="preserve">|e </t>
    </r>
    <r>
      <rPr>
        <sz val="11"/>
        <color theme="1"/>
        <rFont val="Calibri (Основной текст)"/>
        <charset val="204"/>
      </rPr>
      <t>t</t>
    </r>
    <r>
      <rPr>
        <vertAlign val="superscript"/>
        <sz val="11"/>
        <color theme="1"/>
        <rFont val="Calibri (Основной текст)"/>
        <charset val="204"/>
      </rPr>
      <t xml:space="preserve"> |</t>
    </r>
    <r>
      <rPr>
        <sz val="11"/>
        <color theme="1"/>
        <rFont val="Calibri"/>
        <family val="2"/>
        <scheme val="minor"/>
      </rPr>
      <t xml:space="preserve"> / </t>
    </r>
    <r>
      <rPr>
        <vertAlign val="subscript"/>
        <sz val="11"/>
        <color theme="1"/>
        <rFont val="Calibri (Основной текст)"/>
        <charset val="204"/>
      </rPr>
      <t>|</t>
    </r>
    <r>
      <rPr>
        <sz val="11"/>
        <color theme="1"/>
        <rFont val="Calibri (Основной текст)"/>
        <charset val="204"/>
      </rPr>
      <t>y</t>
    </r>
    <r>
      <rPr>
        <vertAlign val="subscript"/>
        <sz val="11"/>
        <color theme="1"/>
        <rFont val="Calibri (Основной текст)"/>
        <charset val="204"/>
      </rPr>
      <t xml:space="preserve">  t|</t>
    </r>
    <r>
      <rPr>
        <sz val="11"/>
        <color theme="1"/>
        <rFont val="Calibri"/>
        <family val="2"/>
        <scheme val="minor"/>
      </rPr>
      <t>) * 100%</t>
    </r>
  </si>
  <si>
    <t xml:space="preserve">t - t̄ </t>
  </si>
  <si>
    <r>
      <t>e</t>
    </r>
    <r>
      <rPr>
        <vertAlign val="subscript"/>
        <sz val="14"/>
        <color theme="1"/>
        <rFont val="Calibri (Основной текст)"/>
        <charset val="204"/>
      </rPr>
      <t>t</t>
    </r>
    <r>
      <rPr>
        <sz val="14"/>
        <color theme="1"/>
        <rFont val="Calibri"/>
        <family val="2"/>
        <scheme val="minor"/>
      </rPr>
      <t xml:space="preserve"> </t>
    </r>
    <r>
      <rPr>
        <vertAlign val="superscript"/>
        <sz val="14"/>
        <color theme="1"/>
        <rFont val="Calibri (Основной текст)"/>
        <charset val="204"/>
      </rPr>
      <t>2</t>
    </r>
  </si>
  <si>
    <r>
      <t>e</t>
    </r>
    <r>
      <rPr>
        <vertAlign val="subscript"/>
        <sz val="14"/>
        <color theme="1"/>
        <rFont val="Calibri (Основной текст)"/>
        <charset val="204"/>
      </rPr>
      <t>t</t>
    </r>
    <r>
      <rPr>
        <sz val="14"/>
        <color theme="1"/>
        <rFont val="Calibri"/>
        <family val="2"/>
        <scheme val="minor"/>
      </rPr>
      <t xml:space="preserve"> - e</t>
    </r>
    <r>
      <rPr>
        <vertAlign val="subscript"/>
        <sz val="14"/>
        <color theme="1"/>
        <rFont val="Calibri (Основной текст)"/>
        <charset val="204"/>
      </rPr>
      <t>t-1</t>
    </r>
  </si>
  <si>
    <r>
      <t xml:space="preserve">[e </t>
    </r>
    <r>
      <rPr>
        <vertAlign val="subscript"/>
        <sz val="14"/>
        <color theme="1"/>
        <rFont val="Calibri (Основной текст)"/>
        <charset val="204"/>
      </rPr>
      <t>t</t>
    </r>
    <r>
      <rPr>
        <sz val="14"/>
        <color theme="1"/>
        <rFont val="Calibri"/>
        <family val="2"/>
        <scheme val="minor"/>
      </rPr>
      <t xml:space="preserve"> - e </t>
    </r>
    <r>
      <rPr>
        <vertAlign val="subscript"/>
        <sz val="14"/>
        <color theme="1"/>
        <rFont val="Calibri (Основной текст)"/>
        <charset val="204"/>
      </rPr>
      <t>t-1</t>
    </r>
    <r>
      <rPr>
        <sz val="14"/>
        <color theme="1"/>
        <rFont val="Calibri"/>
        <family val="2"/>
        <scheme val="minor"/>
      </rPr>
      <t xml:space="preserve">] </t>
    </r>
    <r>
      <rPr>
        <vertAlign val="superscript"/>
        <sz val="14"/>
        <color theme="1"/>
        <rFont val="Calibri (Основной текст)"/>
        <charset val="204"/>
      </rPr>
      <t>2</t>
    </r>
  </si>
  <si>
    <r>
      <t xml:space="preserve">e </t>
    </r>
    <r>
      <rPr>
        <vertAlign val="subscript"/>
        <sz val="14"/>
        <color theme="1"/>
        <rFont val="Calibri (Основной текст)"/>
        <charset val="204"/>
      </rPr>
      <t>t</t>
    </r>
    <r>
      <rPr>
        <sz val="14"/>
        <color theme="1"/>
        <rFont val="Calibri"/>
        <family val="2"/>
        <scheme val="minor"/>
      </rPr>
      <t xml:space="preserve"> * e </t>
    </r>
    <r>
      <rPr>
        <vertAlign val="subscript"/>
        <sz val="14"/>
        <color theme="1"/>
        <rFont val="Calibri (Основной текст)"/>
        <charset val="204"/>
      </rPr>
      <t>t-1</t>
    </r>
  </si>
  <si>
    <r>
      <rPr>
        <sz val="14"/>
        <color theme="1"/>
        <rFont val="Calibri"/>
        <family val="2"/>
        <scheme val="minor"/>
      </rPr>
      <t xml:space="preserve">(t - t̄ ) </t>
    </r>
    <r>
      <rPr>
        <vertAlign val="superscript"/>
        <sz val="14"/>
        <color theme="1"/>
        <rFont val="Calibri (Основной текст)"/>
        <charset val="204"/>
      </rPr>
      <t>2</t>
    </r>
  </si>
  <si>
    <t>Скользящая средняя Ŷ(t) (m = 3)</t>
  </si>
  <si>
    <r>
      <t>Линейный тренд Y(t)=a</t>
    </r>
    <r>
      <rPr>
        <vertAlign val="subscript"/>
        <sz val="11"/>
        <color theme="1"/>
        <rFont val="Calibri (Основной текст)"/>
        <charset val="204"/>
      </rPr>
      <t>0</t>
    </r>
    <r>
      <rPr>
        <sz val="11"/>
        <color theme="1"/>
        <rFont val="Calibri"/>
        <family val="2"/>
        <scheme val="minor"/>
      </rPr>
      <t xml:space="preserve"> ​+a</t>
    </r>
    <r>
      <rPr>
        <vertAlign val="subscript"/>
        <sz val="11"/>
        <color theme="1"/>
        <rFont val="Calibri (Основной текст)"/>
        <charset val="204"/>
      </rPr>
      <t>1</t>
    </r>
    <r>
      <rPr>
        <sz val="11"/>
        <color theme="1"/>
        <rFont val="Calibri"/>
        <family val="2"/>
        <scheme val="minor"/>
      </rPr>
      <t>​t</t>
    </r>
  </si>
  <si>
    <t>Поворотная точка</t>
  </si>
  <si>
    <t>Случайность ост. комп.</t>
  </si>
  <si>
    <t>d-критерий</t>
  </si>
  <si>
    <r>
      <t xml:space="preserve">Так как d находится в интервале от нуля до </t>
    </r>
    <r>
      <rPr>
        <i/>
        <sz val="14"/>
        <color rgb="FF000000"/>
        <rFont val="Times New Roman"/>
        <family val="1"/>
      </rPr>
      <t>d</t>
    </r>
    <r>
      <rPr>
        <i/>
        <sz val="9"/>
        <color rgb="FF000000"/>
        <rFont val="Times New Roman"/>
        <family val="1"/>
      </rPr>
      <t>1 (1,08)</t>
    </r>
    <r>
      <rPr>
        <sz val="14"/>
        <color rgb="FF000000"/>
        <rFont val="Times New Roman"/>
        <family val="1"/>
      </rPr>
      <t xml:space="preserve"> , то уровни ряда остатков сильно автокоррелированы.</t>
    </r>
  </si>
  <si>
    <t>R/S - критерий (2,7-3,7)</t>
  </si>
  <si>
    <t>Так как значение R/S-критерия не попадает в границы, то гипотеза о нормально распределении отклоняется</t>
  </si>
  <si>
    <t>СКО</t>
  </si>
  <si>
    <t>СРЕДНЯЯ ПО МОДУЛЮ ОШИБКА</t>
  </si>
  <si>
    <t>Модель имеет хорошую точность - средняя ошибка практически нулевая, а разброс предсказаний относительно невелик (около 12% от среднего значения ряда).</t>
  </si>
  <si>
    <t>Точечный прогноз</t>
  </si>
  <si>
    <r>
      <t xml:space="preserve">a </t>
    </r>
    <r>
      <rPr>
        <vertAlign val="subscript"/>
        <sz val="11"/>
        <color theme="1"/>
        <rFont val="Calibri (Основной текст)"/>
        <charset val="204"/>
      </rPr>
      <t>0</t>
    </r>
  </si>
  <si>
    <r>
      <t xml:space="preserve">a </t>
    </r>
    <r>
      <rPr>
        <vertAlign val="subscript"/>
        <sz val="11"/>
        <color theme="1"/>
        <rFont val="Calibri (Основной текст)"/>
        <charset val="204"/>
      </rPr>
      <t>1</t>
    </r>
  </si>
  <si>
    <t xml:space="preserve">t = </t>
  </si>
  <si>
    <t>Интервальный прогноз</t>
  </si>
  <si>
    <t>Погрешность</t>
  </si>
  <si>
    <t>Верх. Граница</t>
  </si>
  <si>
    <t>Нижняя Граница</t>
  </si>
  <si>
    <t>Качество</t>
  </si>
  <si>
    <t>Опыт работы в банковской сфере</t>
  </si>
  <si>
    <t>Опыт работы в ИТ</t>
  </si>
  <si>
    <t>Уровень образования</t>
  </si>
  <si>
    <t>Опыт руководства людьми</t>
  </si>
  <si>
    <t>Коммуникабельность</t>
  </si>
  <si>
    <t>Стремление к саморазвитию</t>
  </si>
  <si>
    <t>Ответственное отношение к делу</t>
  </si>
  <si>
    <t>Личное обаяние</t>
  </si>
  <si>
    <t>Эксперт 1</t>
  </si>
  <si>
    <t>Сумма баллов</t>
  </si>
  <si>
    <t>Эксперт 2</t>
  </si>
  <si>
    <t>Эксперт 3</t>
  </si>
  <si>
    <t>Относительный вес </t>
  </si>
  <si>
    <t>Групповая оценка качеств каждого кандидата</t>
  </si>
  <si>
    <t>Иванов И.И.</t>
  </si>
  <si>
    <t>Петров П.П.</t>
  </si>
  <si>
    <t>Сидоров С.С.</t>
  </si>
  <si>
    <t>Интегральная оценка каждого претендента</t>
  </si>
  <si>
    <t>ВЫВОД: НАИБОЛЕЕ ПОДХОДЯЩЕЙ КАНДИДАТУРОЙ ЯВЛЯЕТСЯ ПЕТРОВ П. П., ТАК КАК ЕГО ИНТЕГРАЛЬНАЯ ОЦЕНКА САМАЯ ВЫСОКАЯ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</si>
</sst>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4"/>
      <color theme="1"/>
      <name val="Calibri (Основной текст)"/>
      <charset val="204"/>
    </font>
    <font>
      <vertAlign val="subscript"/>
      <sz val="11"/>
      <color theme="1"/>
      <name val="Calibri (Основной текст)"/>
      <charset val="204"/>
    </font>
    <font>
      <vertAlign val="superscript"/>
      <sz val="11"/>
      <color theme="1"/>
      <name val="Calibri (Основной текст)"/>
      <charset val="204"/>
    </font>
    <font>
      <sz val="14"/>
      <color theme="1"/>
      <name val="Calibri"/>
      <family val="2"/>
      <scheme val="minor"/>
    </font>
    <font>
      <vertAlign val="subscript"/>
      <sz val="14"/>
      <color theme="1"/>
      <name val="Calibri (Основной текст)"/>
      <charset val="204"/>
    </font>
    <font>
      <vertAlign val="superscript"/>
      <sz val="14"/>
      <color theme="1"/>
      <name val="Calibri (Основной текст)"/>
      <charset val="204"/>
    </font>
    <font>
      <vertAlign val="subscript"/>
      <sz val="12"/>
      <color rgb="FF0F1115"/>
      <name val="Calibri (Основной текст)"/>
      <charset val="204"/>
    </font>
    <font>
      <sz val="12"/>
      <color rgb="FF0F1115"/>
      <name val="Calibri"/>
      <family val="2"/>
      <scheme val="minor"/>
    </font>
    <font>
      <sz val="11"/>
      <color theme="1"/>
      <name val="Calibri (Основной текст)"/>
      <charset val="204"/>
    </font>
    <font>
      <sz val="14"/>
      <color rgb="FF000000"/>
      <name val="Times New Roman"/>
      <family val="1"/>
    </font>
    <font>
      <i/>
      <sz val="14"/>
      <color rgb="FF000000"/>
      <name val="Times New Roman"/>
      <family val="1"/>
    </font>
    <font>
      <i/>
      <sz val="9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rgb="FF0F1115"/>
      <name val="Helvetica Neue"/>
      <family val="2"/>
    </font>
    <font>
      <sz val="12"/>
      <color rgb="FF0F1115"/>
      <name val="Helvetica Neue"/>
      <family val="2"/>
    </font>
    <font>
      <sz val="12"/>
      <color rgb="FF0F1115"/>
      <name val="Helvetica Neue"/>
      <family val="2"/>
    </font>
    <font>
      <b/>
      <sz val="11"/>
      <color theme="1"/>
      <name val="Helvetica Neue"/>
      <family val="2"/>
    </font>
    <font>
      <b/>
      <sz val="12"/>
      <color theme="1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0" fillId="2" borderId="0" xfId="0" applyNumberFormat="1" applyFill="1"/>
    <xf numFmtId="0" fontId="13" fillId="0" borderId="0" xfId="0" applyFont="1"/>
    <xf numFmtId="0" fontId="0" fillId="0" borderId="0" xfId="0" applyAlignment="1">
      <alignment horizont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10" fillId="0" borderId="0" xfId="0" applyNumberFormat="1" applyFont="1" applyAlignment="1">
      <alignment horizontal="center" wrapText="1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8" fillId="0" borderId="0" xfId="0" applyFont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Линия</a:t>
            </a:r>
            <a:r>
              <a:rPr lang="ru-RU" baseline="0"/>
              <a:t> тренда и зависимость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прибыль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643219597550306E-2"/>
                  <c:y val="-2.79556722076407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'Задание 1'!$B$2:$B$13</c:f>
              <c:numCache>
                <c:formatCode>General</c:formatCode>
                <c:ptCount val="12"/>
                <c:pt idx="0">
                  <c:v>50</c:v>
                </c:pt>
                <c:pt idx="1">
                  <c:v>60</c:v>
                </c:pt>
                <c:pt idx="2">
                  <c:v>85</c:v>
                </c:pt>
                <c:pt idx="3">
                  <c:v>85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155</c:v>
                </c:pt>
                <c:pt idx="8">
                  <c:v>180</c:v>
                </c:pt>
                <c:pt idx="9">
                  <c:v>210</c:v>
                </c:pt>
                <c:pt idx="10">
                  <c:v>250</c:v>
                </c:pt>
                <c:pt idx="11">
                  <c:v>300</c:v>
                </c:pt>
              </c:numCache>
            </c:numRef>
          </c:xVal>
          <c:yVal>
            <c:numRef>
              <c:f>'Задание 1'!$C$2:$C$13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17</c:v>
                </c:pt>
                <c:pt idx="4">
                  <c:v>18</c:v>
                </c:pt>
                <c:pt idx="5">
                  <c:v>28</c:v>
                </c:pt>
                <c:pt idx="6">
                  <c:v>34</c:v>
                </c:pt>
                <c:pt idx="7">
                  <c:v>36</c:v>
                </c:pt>
                <c:pt idx="8">
                  <c:v>48</c:v>
                </c:pt>
                <c:pt idx="9">
                  <c:v>55</c:v>
                </c:pt>
                <c:pt idx="10">
                  <c:v>71</c:v>
                </c:pt>
                <c:pt idx="11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46-4306-B81E-415D856A7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280592"/>
        <c:axId val="551271472"/>
      </c:scatterChart>
      <c:valAx>
        <c:axId val="55128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271472"/>
        <c:crosses val="autoZero"/>
        <c:crossBetween val="midCat"/>
      </c:valAx>
      <c:valAx>
        <c:axId val="55127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2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</a:t>
            </a:r>
            <a:r>
              <a:rPr lang="ru-RU" baseline="0"/>
              <a:t> фактических значений и прогнозируемых (прибыль)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Фактическое значение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'Задание 1'!$C$2:$C$13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17</c:v>
                </c:pt>
                <c:pt idx="4">
                  <c:v>18</c:v>
                </c:pt>
                <c:pt idx="5">
                  <c:v>28</c:v>
                </c:pt>
                <c:pt idx="6">
                  <c:v>34</c:v>
                </c:pt>
                <c:pt idx="7">
                  <c:v>36</c:v>
                </c:pt>
                <c:pt idx="8">
                  <c:v>48</c:v>
                </c:pt>
                <c:pt idx="9">
                  <c:v>55</c:v>
                </c:pt>
                <c:pt idx="10">
                  <c:v>71</c:v>
                </c:pt>
                <c:pt idx="11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74-4726-B917-B4BCAE6984E2}"/>
            </c:ext>
          </c:extLst>
        </c:ser>
        <c:ser>
          <c:idx val="1"/>
          <c:order val="1"/>
          <c:tx>
            <c:v>Прогнозируемое значение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'Задание 1'!$D$2:$D$13</c:f>
              <c:numCache>
                <c:formatCode>General</c:formatCode>
                <c:ptCount val="12"/>
                <c:pt idx="0">
                  <c:v>2.152340212945326</c:v>
                </c:pt>
                <c:pt idx="1">
                  <c:v>5.5283042432947198</c:v>
                </c:pt>
                <c:pt idx="2">
                  <c:v>13.968214319168201</c:v>
                </c:pt>
                <c:pt idx="3">
                  <c:v>13.968214319168201</c:v>
                </c:pt>
                <c:pt idx="4">
                  <c:v>19.032160364692288</c:v>
                </c:pt>
                <c:pt idx="5">
                  <c:v>25.784088425391076</c:v>
                </c:pt>
                <c:pt idx="6">
                  <c:v>32.536016486089864</c:v>
                </c:pt>
                <c:pt idx="7">
                  <c:v>37.599962531613947</c:v>
                </c:pt>
                <c:pt idx="8">
                  <c:v>46.039872607487432</c:v>
                </c:pt>
                <c:pt idx="9">
                  <c:v>56.167764698535606</c:v>
                </c:pt>
                <c:pt idx="10">
                  <c:v>69.671620819933182</c:v>
                </c:pt>
                <c:pt idx="11">
                  <c:v>86.551440971680137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74-4726-B917-B4BCAE698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278672"/>
        <c:axId val="551277712"/>
      </c:lineChart>
      <c:catAx>
        <c:axId val="551278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277712"/>
        <c:crosses val="autoZero"/>
        <c:auto val="1"/>
        <c:lblAlgn val="ctr"/>
        <c:lblOffset val="100"/>
        <c:noMultiLvlLbl val="0"/>
      </c:catAx>
      <c:valAx>
        <c:axId val="55127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27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 фактических значений и прогнозируемых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Фактические значение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'Задание 2'!$B$2:$B$16</c:f>
              <c:numCache>
                <c:formatCode>General</c:formatCode>
                <c:ptCount val="15"/>
                <c:pt idx="0">
                  <c:v>6</c:v>
                </c:pt>
                <c:pt idx="1">
                  <c:v>10</c:v>
                </c:pt>
                <c:pt idx="2">
                  <c:v>8</c:v>
                </c:pt>
                <c:pt idx="3">
                  <c:v>13</c:v>
                </c:pt>
                <c:pt idx="4">
                  <c:v>15</c:v>
                </c:pt>
                <c:pt idx="5">
                  <c:v>19</c:v>
                </c:pt>
                <c:pt idx="6">
                  <c:v>25</c:v>
                </c:pt>
                <c:pt idx="7">
                  <c:v>27</c:v>
                </c:pt>
                <c:pt idx="8">
                  <c:v>33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45</c:v>
                </c:pt>
                <c:pt idx="13">
                  <c:v>41</c:v>
                </c:pt>
                <c:pt idx="14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84-EA44-BF53-E2BB77F81E79}"/>
            </c:ext>
          </c:extLst>
        </c:ser>
        <c:ser>
          <c:idx val="1"/>
          <c:order val="1"/>
          <c:tx>
            <c:v>Прогнозируемое значение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'Задание 2'!$F$2:$F$16</c:f>
              <c:numCache>
                <c:formatCode>0.0</c:formatCode>
                <c:ptCount val="15"/>
                <c:pt idx="0">
                  <c:v>4.7833333333333314</c:v>
                </c:pt>
                <c:pt idx="1">
                  <c:v>8.004761904761903</c:v>
                </c:pt>
                <c:pt idx="2">
                  <c:v>11.226190476190474</c:v>
                </c:pt>
                <c:pt idx="3">
                  <c:v>14.447619047619046</c:v>
                </c:pt>
                <c:pt idx="4">
                  <c:v>17.669047619047618</c:v>
                </c:pt>
                <c:pt idx="5">
                  <c:v>20.890476190476189</c:v>
                </c:pt>
                <c:pt idx="6">
                  <c:v>24.111904761904761</c:v>
                </c:pt>
                <c:pt idx="7">
                  <c:v>27.333333333333332</c:v>
                </c:pt>
                <c:pt idx="8">
                  <c:v>30.554761904761904</c:v>
                </c:pt>
                <c:pt idx="9">
                  <c:v>33.776190476190479</c:v>
                </c:pt>
                <c:pt idx="10">
                  <c:v>36.99761904761904</c:v>
                </c:pt>
                <c:pt idx="11">
                  <c:v>40.219047619047615</c:v>
                </c:pt>
                <c:pt idx="12">
                  <c:v>43.44047619047619</c:v>
                </c:pt>
                <c:pt idx="13">
                  <c:v>46.661904761904765</c:v>
                </c:pt>
                <c:pt idx="14">
                  <c:v>49.883333333333326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4-EA44-BF53-E2BB77F81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5771520"/>
        <c:axId val="315770176"/>
      </c:lineChart>
      <c:catAx>
        <c:axId val="315771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5770176"/>
        <c:crosses val="autoZero"/>
        <c:auto val="1"/>
        <c:lblAlgn val="ctr"/>
        <c:lblOffset val="100"/>
        <c:noMultiLvlLbl val="0"/>
      </c:catAx>
      <c:valAx>
        <c:axId val="3157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577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17</xdr:row>
      <xdr:rowOff>23812</xdr:rowOff>
    </xdr:from>
    <xdr:to>
      <xdr:col>6</xdr:col>
      <xdr:colOff>1019175</xdr:colOff>
      <xdr:row>31</xdr:row>
      <xdr:rowOff>100012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C65BB5D-B14F-0AB9-6D29-FE8C08F98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1595437</xdr:colOff>
      <xdr:row>17</xdr:row>
      <xdr:rowOff>23812</xdr:rowOff>
    </xdr:from>
    <xdr:to>
      <xdr:col>10</xdr:col>
      <xdr:colOff>109537</xdr:colOff>
      <xdr:row>31</xdr:row>
      <xdr:rowOff>100012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EA340F3-7BD7-637B-BAB7-F96A2449D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505046</xdr:colOff>
      <xdr:row>27</xdr:row>
      <xdr:rowOff>119911</xdr:rowOff>
    </xdr:from>
    <xdr:to>
      <xdr:col>9</xdr:col>
      <xdr:colOff>705883</xdr:colOff>
      <xdr:row>41</xdr:row>
      <xdr:rowOff>175436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E7D6935-35F9-45E0-8D37-648535BE8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N24" sqref="N24"/>
    </sheetView>
  </sheetViews>
  <sheetFormatPr baseColWidth="10" defaultColWidth="8.83203125" defaultRowHeight="15" x14ac:dyDescent="0.2"/>
  <cols>
    <col min="1" max="1" width="10" bestFit="1" customWidth="1"/>
    <col min="2" max="2" width="7.83203125" bestFit="1" customWidth="1"/>
    <col min="3" max="3" width="9.33203125" bestFit="1" customWidth="1"/>
    <col min="4" max="4" width="17.5" bestFit="1" customWidth="1"/>
    <col min="7" max="7" width="25.5" bestFit="1" customWidth="1"/>
    <col min="8" max="8" width="22.6640625" bestFit="1" customWidth="1"/>
    <col min="9" max="9" width="33.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4</v>
      </c>
      <c r="F1" s="1" t="s">
        <v>3</v>
      </c>
      <c r="G1" s="1" t="s">
        <v>5</v>
      </c>
      <c r="H1" s="1" t="s">
        <v>6</v>
      </c>
      <c r="I1" s="1" t="s">
        <v>7</v>
      </c>
    </row>
    <row r="2" spans="1:9" x14ac:dyDescent="0.2">
      <c r="A2" s="1">
        <v>1</v>
      </c>
      <c r="B2" s="1">
        <v>50</v>
      </c>
      <c r="C2" s="1">
        <v>2</v>
      </c>
      <c r="D2" s="1">
        <f>$F$2 + $E$2*B2</f>
        <v>2.152340212945326</v>
      </c>
      <c r="E2" s="1">
        <f>SLOPE(C2:C13,B2:B13)</f>
        <v>0.33759640303493926</v>
      </c>
      <c r="F2" s="1">
        <f>INTERCEPT(C2:C13,B2:B13)</f>
        <v>-14.727479938801636</v>
      </c>
      <c r="G2" s="1">
        <f>CORREL(B2:B13,C2:C13)</f>
        <v>0.99735310497191221</v>
      </c>
      <c r="H2" s="1">
        <f>ABS((C2-D2)/C2)</f>
        <v>7.617010647266298E-2</v>
      </c>
      <c r="I2" s="1">
        <f>AVERAGE(H2:H13)*100</f>
        <v>10.245314467769175</v>
      </c>
    </row>
    <row r="3" spans="1:9" x14ac:dyDescent="0.2">
      <c r="A3" s="1">
        <v>2</v>
      </c>
      <c r="B3" s="1">
        <v>60</v>
      </c>
      <c r="C3" s="1">
        <v>4</v>
      </c>
      <c r="D3" s="1">
        <f t="shared" ref="D3:D13" si="0">$F$2 + $E$2*B3</f>
        <v>5.5283042432947198</v>
      </c>
      <c r="E3" s="1"/>
      <c r="F3" s="1"/>
      <c r="G3" s="1"/>
      <c r="H3" s="1">
        <f t="shared" ref="H3:H13" si="1">ABS((C3-D3)/C3)</f>
        <v>0.38207606082367995</v>
      </c>
      <c r="I3" s="1"/>
    </row>
    <row r="4" spans="1:9" x14ac:dyDescent="0.2">
      <c r="A4" s="1">
        <v>3</v>
      </c>
      <c r="B4" s="1">
        <v>85</v>
      </c>
      <c r="C4" s="1">
        <v>11</v>
      </c>
      <c r="D4" s="1">
        <f t="shared" si="0"/>
        <v>13.968214319168201</v>
      </c>
      <c r="E4" s="1"/>
      <c r="F4" s="1"/>
      <c r="G4" s="1"/>
      <c r="H4" s="1">
        <f t="shared" si="1"/>
        <v>0.26983766537892734</v>
      </c>
      <c r="I4" s="1"/>
    </row>
    <row r="5" spans="1:9" x14ac:dyDescent="0.2">
      <c r="A5" s="1">
        <v>4</v>
      </c>
      <c r="B5" s="1">
        <v>85</v>
      </c>
      <c r="C5" s="1">
        <v>17</v>
      </c>
      <c r="D5" s="1">
        <f t="shared" si="0"/>
        <v>13.968214319168201</v>
      </c>
      <c r="E5" s="1"/>
      <c r="F5" s="1"/>
      <c r="G5" s="1"/>
      <c r="H5" s="1">
        <f t="shared" si="1"/>
        <v>0.17834033416657641</v>
      </c>
      <c r="I5" s="1"/>
    </row>
    <row r="6" spans="1:9" x14ac:dyDescent="0.2">
      <c r="A6" s="1">
        <v>5</v>
      </c>
      <c r="B6" s="1">
        <v>100</v>
      </c>
      <c r="C6" s="1">
        <v>18</v>
      </c>
      <c r="D6" s="1">
        <f t="shared" si="0"/>
        <v>19.032160364692288</v>
      </c>
      <c r="E6" s="1"/>
      <c r="F6" s="1"/>
      <c r="G6" s="1"/>
      <c r="H6" s="1">
        <f t="shared" si="1"/>
        <v>5.7342242482904898E-2</v>
      </c>
      <c r="I6" s="1"/>
    </row>
    <row r="7" spans="1:9" x14ac:dyDescent="0.2">
      <c r="A7" s="1">
        <v>6</v>
      </c>
      <c r="B7" s="1">
        <v>120</v>
      </c>
      <c r="C7" s="1">
        <v>28</v>
      </c>
      <c r="D7" s="1">
        <f t="shared" si="0"/>
        <v>25.784088425391076</v>
      </c>
      <c r="E7" s="1"/>
      <c r="F7" s="1"/>
      <c r="G7" s="1"/>
      <c r="H7" s="1">
        <f t="shared" si="1"/>
        <v>7.9139699093175864E-2</v>
      </c>
      <c r="I7" s="1"/>
    </row>
    <row r="8" spans="1:9" x14ac:dyDescent="0.2">
      <c r="A8" s="1">
        <v>7</v>
      </c>
      <c r="B8" s="1">
        <v>140</v>
      </c>
      <c r="C8" s="1">
        <v>34</v>
      </c>
      <c r="D8" s="1">
        <f t="shared" si="0"/>
        <v>32.536016486089864</v>
      </c>
      <c r="E8" s="1"/>
      <c r="F8" s="1"/>
      <c r="G8" s="1"/>
      <c r="H8" s="1">
        <f t="shared" si="1"/>
        <v>4.3058338644415779E-2</v>
      </c>
      <c r="I8" s="1"/>
    </row>
    <row r="9" spans="1:9" x14ac:dyDescent="0.2">
      <c r="A9" s="1">
        <v>8</v>
      </c>
      <c r="B9" s="1">
        <v>155</v>
      </c>
      <c r="C9" s="1">
        <v>36</v>
      </c>
      <c r="D9" s="1">
        <f t="shared" si="0"/>
        <v>37.599962531613947</v>
      </c>
      <c r="E9" s="1"/>
      <c r="F9" s="1"/>
      <c r="G9" s="1"/>
      <c r="H9" s="1">
        <f t="shared" si="1"/>
        <v>4.444340365594298E-2</v>
      </c>
      <c r="I9" s="1"/>
    </row>
    <row r="10" spans="1:9" x14ac:dyDescent="0.2">
      <c r="A10" s="1">
        <v>9</v>
      </c>
      <c r="B10" s="1">
        <v>180</v>
      </c>
      <c r="C10" s="1">
        <v>48</v>
      </c>
      <c r="D10" s="1">
        <f t="shared" si="0"/>
        <v>46.039872607487432</v>
      </c>
      <c r="E10" s="1"/>
      <c r="F10" s="1"/>
      <c r="G10" s="1"/>
      <c r="H10" s="1">
        <f t="shared" si="1"/>
        <v>4.0835987344011837E-2</v>
      </c>
      <c r="I10" s="1"/>
    </row>
    <row r="11" spans="1:9" x14ac:dyDescent="0.2">
      <c r="A11" s="1">
        <v>10</v>
      </c>
      <c r="B11" s="1">
        <v>210</v>
      </c>
      <c r="C11" s="1">
        <v>55</v>
      </c>
      <c r="D11" s="1">
        <f t="shared" si="0"/>
        <v>56.167764698535606</v>
      </c>
      <c r="E11" s="1"/>
      <c r="F11" s="1"/>
      <c r="G11" s="1"/>
      <c r="H11" s="1">
        <f t="shared" si="1"/>
        <v>2.1232085427920114E-2</v>
      </c>
      <c r="I11" s="1"/>
    </row>
    <row r="12" spans="1:9" x14ac:dyDescent="0.2">
      <c r="A12" s="1">
        <v>11</v>
      </c>
      <c r="B12" s="1">
        <v>250</v>
      </c>
      <c r="C12" s="1">
        <v>71</v>
      </c>
      <c r="D12" s="1">
        <f t="shared" si="0"/>
        <v>69.671620819933182</v>
      </c>
      <c r="E12" s="1"/>
      <c r="F12" s="1"/>
      <c r="G12" s="1"/>
      <c r="H12" s="1">
        <f t="shared" si="1"/>
        <v>1.8709565916434061E-2</v>
      </c>
      <c r="I12" s="1"/>
    </row>
    <row r="13" spans="1:9" x14ac:dyDescent="0.2">
      <c r="A13" s="1">
        <v>12</v>
      </c>
      <c r="B13" s="1">
        <v>300</v>
      </c>
      <c r="C13" s="1">
        <v>85</v>
      </c>
      <c r="D13" s="1">
        <f t="shared" si="0"/>
        <v>86.551440971680137</v>
      </c>
      <c r="E13" s="1"/>
      <c r="F13" s="1"/>
      <c r="G13" s="1"/>
      <c r="H13" s="1">
        <f t="shared" si="1"/>
        <v>1.8252246725648666E-2</v>
      </c>
      <c r="I13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981A-6B70-492E-855F-F6A0B394F30D}">
  <dimension ref="A1:U33"/>
  <sheetViews>
    <sheetView zoomScale="86" zoomScaleNormal="91" workbookViewId="0">
      <selection activeCell="O33" sqref="O33"/>
    </sheetView>
  </sheetViews>
  <sheetFormatPr baseColWidth="10" defaultColWidth="8.83203125" defaultRowHeight="15" x14ac:dyDescent="0.2"/>
  <cols>
    <col min="2" max="2" width="12.1640625" bestFit="1" customWidth="1"/>
    <col min="3" max="3" width="26.33203125" bestFit="1" customWidth="1"/>
    <col min="6" max="6" width="23.83203125" bestFit="1" customWidth="1"/>
    <col min="7" max="7" width="15.6640625" customWidth="1"/>
    <col min="10" max="11" width="11.33203125" bestFit="1" customWidth="1"/>
    <col min="12" max="12" width="15.33203125" bestFit="1" customWidth="1"/>
    <col min="15" max="15" width="15.1640625" bestFit="1" customWidth="1"/>
    <col min="16" max="16" width="19.33203125" bestFit="1" customWidth="1"/>
    <col min="17" max="17" width="10" bestFit="1" customWidth="1"/>
  </cols>
  <sheetData>
    <row r="1" spans="1:21" ht="22" x14ac:dyDescent="0.2">
      <c r="A1" s="2" t="s">
        <v>10</v>
      </c>
      <c r="B1" s="2" t="s">
        <v>9</v>
      </c>
      <c r="C1" s="2" t="s">
        <v>22</v>
      </c>
      <c r="D1" s="3" t="s">
        <v>12</v>
      </c>
      <c r="E1" s="3" t="s">
        <v>13</v>
      </c>
      <c r="F1" s="2" t="s">
        <v>23</v>
      </c>
      <c r="G1" s="4" t="s">
        <v>14</v>
      </c>
      <c r="H1" s="5" t="s">
        <v>17</v>
      </c>
      <c r="I1" s="5" t="s">
        <v>18</v>
      </c>
      <c r="J1" s="5" t="s">
        <v>19</v>
      </c>
      <c r="K1" s="5" t="s">
        <v>20</v>
      </c>
      <c r="L1" s="2" t="s">
        <v>15</v>
      </c>
      <c r="M1" s="3" t="s">
        <v>16</v>
      </c>
      <c r="N1" s="5" t="s">
        <v>21</v>
      </c>
      <c r="O1" s="6" t="s">
        <v>24</v>
      </c>
      <c r="P1" t="s">
        <v>25</v>
      </c>
      <c r="Q1" t="s">
        <v>26</v>
      </c>
    </row>
    <row r="2" spans="1:21" x14ac:dyDescent="0.2">
      <c r="A2">
        <v>1</v>
      </c>
      <c r="B2">
        <v>6</v>
      </c>
      <c r="C2" s="9" t="s">
        <v>11</v>
      </c>
      <c r="D2" s="10">
        <f>SLOPE(B2:B16,A2:A16)</f>
        <v>3.2214285714285715</v>
      </c>
      <c r="E2" s="10">
        <f>INTERCEPT(B2:B16,A2:A16)</f>
        <v>1.5619047619047599</v>
      </c>
      <c r="F2" s="10">
        <f>$E$2 + $D$2 * A2</f>
        <v>4.7833333333333314</v>
      </c>
      <c r="G2" s="11">
        <f>B2-F2</f>
        <v>1.2166666666666686</v>
      </c>
      <c r="H2" s="10">
        <f xml:space="preserve"> G2^2</f>
        <v>1.4802777777777825</v>
      </c>
      <c r="I2" s="10" t="s">
        <v>11</v>
      </c>
      <c r="J2" s="10" t="s">
        <v>11</v>
      </c>
      <c r="K2" s="10"/>
      <c r="L2" s="10">
        <f>(ABS(G2)/ ABS(B2))*100</f>
        <v>20.277777777777807</v>
      </c>
      <c r="M2" s="10">
        <f>A2-AVERAGE($A$2:$A$16)</f>
        <v>-7</v>
      </c>
      <c r="N2" s="10">
        <f>M2^2</f>
        <v>49</v>
      </c>
      <c r="O2" s="10">
        <v>0</v>
      </c>
      <c r="P2" s="10" t="str">
        <f>IF(SUM(O2:O16)&gt;(2*(15-2)/3-2*SQRT((16*15 - 29)/90)), "случайно", "не случайно")</f>
        <v>случайно</v>
      </c>
      <c r="Q2" s="10">
        <f>J17/H17</f>
        <v>1.0703887412987194</v>
      </c>
      <c r="R2" s="10"/>
      <c r="S2" s="10"/>
      <c r="T2" s="10"/>
      <c r="U2" s="10"/>
    </row>
    <row r="3" spans="1:21" ht="18" customHeight="1" x14ac:dyDescent="0.2">
      <c r="A3">
        <v>2</v>
      </c>
      <c r="B3">
        <v>10</v>
      </c>
      <c r="C3" s="10">
        <f>(B2+B3+B4)/3</f>
        <v>8</v>
      </c>
      <c r="D3" s="10"/>
      <c r="E3" s="10"/>
      <c r="F3" s="10">
        <f t="shared" ref="F3:F16" si="0">$E$2 + $D$2 * A3</f>
        <v>8.004761904761903</v>
      </c>
      <c r="G3" s="11">
        <f t="shared" ref="G3:G16" si="1">B3-F3</f>
        <v>1.995238095238097</v>
      </c>
      <c r="H3" s="10">
        <f>G3^2</f>
        <v>3.9809750566893496</v>
      </c>
      <c r="I3" s="10">
        <f>$G3-$G2</f>
        <v>0.77857142857142847</v>
      </c>
      <c r="J3" s="10">
        <f>I3^2</f>
        <v>0.60617346938775496</v>
      </c>
      <c r="K3" s="10">
        <f>G3*G2</f>
        <v>2.4275396825396887</v>
      </c>
      <c r="L3" s="10">
        <f t="shared" ref="L3:L16" si="2">(ABS(G3)/ ABS(B3))*100</f>
        <v>19.95238095238097</v>
      </c>
      <c r="M3" s="10">
        <f t="shared" ref="M3:M16" si="3">A3-AVERAGE($A$2:$A$16)</f>
        <v>-6</v>
      </c>
      <c r="N3" s="10">
        <f t="shared" ref="N3:N16" si="4">M3^2</f>
        <v>36</v>
      </c>
      <c r="O3" s="10">
        <f>IF(OR(AND(G3&gt;G2,G3&gt;G4),AND(G3&lt;G2,G3&lt;G4)),1,0)</f>
        <v>1</v>
      </c>
      <c r="P3" s="10"/>
      <c r="Q3" s="17" t="s">
        <v>27</v>
      </c>
      <c r="R3" s="17"/>
      <c r="S3" s="17"/>
      <c r="T3" s="17"/>
      <c r="U3" s="17"/>
    </row>
    <row r="4" spans="1:21" ht="18" customHeight="1" x14ac:dyDescent="0.2">
      <c r="A4">
        <v>3</v>
      </c>
      <c r="B4">
        <v>8</v>
      </c>
      <c r="C4" s="10">
        <f t="shared" ref="C4:C16" si="5">(B3+B4+B5)/3</f>
        <v>10.333333333333334</v>
      </c>
      <c r="D4" s="10"/>
      <c r="E4" s="10"/>
      <c r="F4" s="10">
        <f t="shared" si="0"/>
        <v>11.226190476190474</v>
      </c>
      <c r="G4" s="11">
        <f t="shared" si="1"/>
        <v>-3.2261904761904745</v>
      </c>
      <c r="H4" s="10">
        <f t="shared" ref="H4:H16" si="6">G4^2</f>
        <v>10.40830498866212</v>
      </c>
      <c r="I4" s="10">
        <f t="shared" ref="I4:I16" si="7">$G4-$G3</f>
        <v>-5.2214285714285715</v>
      </c>
      <c r="J4" s="10">
        <f t="shared" ref="J4:J16" si="8">I4^2</f>
        <v>27.263316326530614</v>
      </c>
      <c r="K4" s="10">
        <f t="shared" ref="K4:K16" si="9">G4*G3</f>
        <v>-6.4370181405895712</v>
      </c>
      <c r="L4" s="10">
        <f t="shared" si="2"/>
        <v>40.327380952380935</v>
      </c>
      <c r="M4" s="10">
        <f t="shared" si="3"/>
        <v>-5</v>
      </c>
      <c r="N4" s="10">
        <f t="shared" si="4"/>
        <v>25</v>
      </c>
      <c r="O4" s="10">
        <f t="shared" ref="O4:O15" si="10">IF(OR(AND(G4&gt;G3,G4&gt;G5),AND(G4&lt;G3,G4&lt;G5)),1,0)</f>
        <v>1</v>
      </c>
      <c r="P4" s="10"/>
      <c r="Q4" s="17"/>
      <c r="R4" s="17"/>
      <c r="S4" s="17"/>
      <c r="T4" s="17"/>
      <c r="U4" s="17"/>
    </row>
    <row r="5" spans="1:21" x14ac:dyDescent="0.2">
      <c r="A5">
        <v>4</v>
      </c>
      <c r="B5">
        <v>13</v>
      </c>
      <c r="C5" s="10">
        <f t="shared" si="5"/>
        <v>12</v>
      </c>
      <c r="D5" s="10"/>
      <c r="E5" s="10"/>
      <c r="F5" s="10">
        <f t="shared" si="0"/>
        <v>14.447619047619046</v>
      </c>
      <c r="G5" s="11">
        <f t="shared" si="1"/>
        <v>-1.447619047619046</v>
      </c>
      <c r="H5" s="10">
        <f t="shared" si="6"/>
        <v>2.0956009070294739</v>
      </c>
      <c r="I5" s="10">
        <f t="shared" si="7"/>
        <v>1.7785714285714285</v>
      </c>
      <c r="J5" s="10">
        <f t="shared" si="8"/>
        <v>3.1633163265306119</v>
      </c>
      <c r="K5" s="10">
        <f t="shared" si="9"/>
        <v>4.6702947845804914</v>
      </c>
      <c r="L5" s="10">
        <f t="shared" si="2"/>
        <v>11.135531135531124</v>
      </c>
      <c r="M5" s="10">
        <f t="shared" si="3"/>
        <v>-4</v>
      </c>
      <c r="N5" s="10">
        <f t="shared" si="4"/>
        <v>16</v>
      </c>
      <c r="O5" s="10">
        <f t="shared" si="10"/>
        <v>1</v>
      </c>
      <c r="P5" s="10"/>
      <c r="Q5" s="17"/>
      <c r="R5" s="17"/>
      <c r="S5" s="17"/>
      <c r="T5" s="17"/>
      <c r="U5" s="17"/>
    </row>
    <row r="6" spans="1:21" x14ac:dyDescent="0.2">
      <c r="A6">
        <v>5</v>
      </c>
      <c r="B6">
        <v>15</v>
      </c>
      <c r="C6" s="10">
        <f t="shared" si="5"/>
        <v>15.666666666666666</v>
      </c>
      <c r="D6" s="10"/>
      <c r="E6" s="10"/>
      <c r="F6" s="10">
        <f t="shared" si="0"/>
        <v>17.669047619047618</v>
      </c>
      <c r="G6" s="11">
        <f t="shared" si="1"/>
        <v>-2.6690476190476176</v>
      </c>
      <c r="H6" s="10">
        <f t="shared" si="6"/>
        <v>7.1238151927437565</v>
      </c>
      <c r="I6" s="10">
        <f t="shared" si="7"/>
        <v>-1.2214285714285715</v>
      </c>
      <c r="J6" s="10">
        <f t="shared" si="8"/>
        <v>1.4918877551020411</v>
      </c>
      <c r="K6" s="10">
        <f t="shared" si="9"/>
        <v>3.8637641723355944</v>
      </c>
      <c r="L6" s="10">
        <f t="shared" si="2"/>
        <v>17.793650793650784</v>
      </c>
      <c r="M6" s="10">
        <f t="shared" si="3"/>
        <v>-3</v>
      </c>
      <c r="N6" s="10">
        <f t="shared" si="4"/>
        <v>9</v>
      </c>
      <c r="O6" s="10">
        <f t="shared" si="10"/>
        <v>1</v>
      </c>
      <c r="P6" s="10"/>
      <c r="Q6" s="10"/>
      <c r="R6" s="10"/>
      <c r="S6" s="10"/>
      <c r="T6" s="10"/>
      <c r="U6" s="10"/>
    </row>
    <row r="7" spans="1:21" x14ac:dyDescent="0.2">
      <c r="A7">
        <v>6</v>
      </c>
      <c r="B7">
        <v>19</v>
      </c>
      <c r="C7" s="10">
        <f t="shared" si="5"/>
        <v>19.666666666666668</v>
      </c>
      <c r="D7" s="10"/>
      <c r="E7" s="10"/>
      <c r="F7" s="10">
        <f t="shared" si="0"/>
        <v>20.890476190476189</v>
      </c>
      <c r="G7" s="11">
        <f t="shared" si="1"/>
        <v>-1.8904761904761891</v>
      </c>
      <c r="H7" s="10">
        <f t="shared" si="6"/>
        <v>3.5739002267573645</v>
      </c>
      <c r="I7" s="10">
        <f t="shared" si="7"/>
        <v>0.77857142857142847</v>
      </c>
      <c r="J7" s="10">
        <f t="shared" si="8"/>
        <v>0.60617346938775496</v>
      </c>
      <c r="K7" s="10">
        <f t="shared" si="9"/>
        <v>5.0457709750566826</v>
      </c>
      <c r="L7" s="10">
        <f t="shared" si="2"/>
        <v>9.9498746867167842</v>
      </c>
      <c r="M7" s="10">
        <f t="shared" si="3"/>
        <v>-2</v>
      </c>
      <c r="N7" s="10">
        <f t="shared" si="4"/>
        <v>4</v>
      </c>
      <c r="O7" s="10">
        <f t="shared" si="10"/>
        <v>0</v>
      </c>
      <c r="P7" s="10"/>
      <c r="Q7" s="10"/>
      <c r="R7" s="10"/>
      <c r="S7" s="10"/>
      <c r="T7" s="10"/>
      <c r="U7" s="10"/>
    </row>
    <row r="8" spans="1:21" x14ac:dyDescent="0.2">
      <c r="A8">
        <v>7</v>
      </c>
      <c r="B8">
        <v>25</v>
      </c>
      <c r="C8" s="10">
        <f t="shared" si="5"/>
        <v>23.666666666666668</v>
      </c>
      <c r="D8" s="10"/>
      <c r="E8" s="10"/>
      <c r="F8" s="10">
        <f t="shared" si="0"/>
        <v>24.111904761904761</v>
      </c>
      <c r="G8" s="11">
        <f t="shared" si="1"/>
        <v>0.88809523809523938</v>
      </c>
      <c r="H8" s="10">
        <f t="shared" si="6"/>
        <v>0.78871315192743996</v>
      </c>
      <c r="I8" s="10">
        <f t="shared" si="7"/>
        <v>2.7785714285714285</v>
      </c>
      <c r="J8" s="10">
        <f t="shared" si="8"/>
        <v>7.7204591836734684</v>
      </c>
      <c r="K8" s="10">
        <f t="shared" si="9"/>
        <v>-1.6789229024943322</v>
      </c>
      <c r="L8" s="10">
        <f t="shared" si="2"/>
        <v>3.5523809523809575</v>
      </c>
      <c r="M8" s="10">
        <f t="shared" si="3"/>
        <v>-1</v>
      </c>
      <c r="N8" s="10">
        <f t="shared" si="4"/>
        <v>1</v>
      </c>
      <c r="O8" s="10">
        <f t="shared" si="10"/>
        <v>1</v>
      </c>
      <c r="P8" s="10"/>
      <c r="Q8" s="10"/>
      <c r="R8" s="10"/>
      <c r="S8" s="10"/>
      <c r="T8" s="10"/>
      <c r="U8" s="10"/>
    </row>
    <row r="9" spans="1:21" x14ac:dyDescent="0.2">
      <c r="A9">
        <v>8</v>
      </c>
      <c r="B9">
        <v>27</v>
      </c>
      <c r="C9" s="10">
        <f t="shared" si="5"/>
        <v>28.333333333333332</v>
      </c>
      <c r="D9" s="10"/>
      <c r="E9" s="10"/>
      <c r="F9" s="10">
        <f t="shared" si="0"/>
        <v>27.333333333333332</v>
      </c>
      <c r="G9" s="11">
        <f t="shared" si="1"/>
        <v>-0.33333333333333215</v>
      </c>
      <c r="H9" s="10">
        <f t="shared" si="6"/>
        <v>0.11111111111111033</v>
      </c>
      <c r="I9" s="10">
        <f t="shared" si="7"/>
        <v>-1.2214285714285715</v>
      </c>
      <c r="J9" s="10">
        <f t="shared" si="8"/>
        <v>1.4918877551020411</v>
      </c>
      <c r="K9" s="10">
        <f t="shared" si="9"/>
        <v>-0.29603174603174542</v>
      </c>
      <c r="L9" s="10">
        <f t="shared" si="2"/>
        <v>1.2345679012345634</v>
      </c>
      <c r="M9" s="10">
        <f t="shared" si="3"/>
        <v>0</v>
      </c>
      <c r="N9" s="10">
        <f t="shared" si="4"/>
        <v>0</v>
      </c>
      <c r="O9" s="10">
        <f t="shared" si="10"/>
        <v>1</v>
      </c>
      <c r="P9" s="10"/>
      <c r="Q9" s="10"/>
      <c r="R9" s="10"/>
      <c r="S9" s="10"/>
      <c r="T9" s="10"/>
      <c r="U9" s="10"/>
    </row>
    <row r="10" spans="1:21" x14ac:dyDescent="0.2">
      <c r="A10">
        <v>9</v>
      </c>
      <c r="B10">
        <v>33</v>
      </c>
      <c r="C10" s="10">
        <f t="shared" si="5"/>
        <v>31.666666666666668</v>
      </c>
      <c r="D10" s="10"/>
      <c r="E10" s="10"/>
      <c r="F10" s="10">
        <f t="shared" si="0"/>
        <v>30.554761904761904</v>
      </c>
      <c r="G10" s="11">
        <f t="shared" si="1"/>
        <v>2.4452380952380963</v>
      </c>
      <c r="H10" s="10">
        <f t="shared" si="6"/>
        <v>5.9791893424036333</v>
      </c>
      <c r="I10" s="10">
        <f t="shared" si="7"/>
        <v>2.7785714285714285</v>
      </c>
      <c r="J10" s="10">
        <f t="shared" si="8"/>
        <v>7.7204591836734684</v>
      </c>
      <c r="K10" s="10">
        <f t="shared" si="9"/>
        <v>-0.81507936507936252</v>
      </c>
      <c r="L10" s="10">
        <f t="shared" si="2"/>
        <v>7.4098124098124138</v>
      </c>
      <c r="M10" s="10">
        <f t="shared" si="3"/>
        <v>1</v>
      </c>
      <c r="N10" s="10">
        <f t="shared" si="4"/>
        <v>1</v>
      </c>
      <c r="O10" s="10">
        <f t="shared" si="10"/>
        <v>1</v>
      </c>
      <c r="P10" s="10"/>
      <c r="Q10" s="10"/>
      <c r="R10" s="10"/>
      <c r="S10" s="10"/>
      <c r="T10" s="10"/>
      <c r="U10" s="10"/>
    </row>
    <row r="11" spans="1:21" x14ac:dyDescent="0.2">
      <c r="A11">
        <v>10</v>
      </c>
      <c r="B11">
        <v>35</v>
      </c>
      <c r="C11" s="10">
        <f t="shared" si="5"/>
        <v>36</v>
      </c>
      <c r="D11" s="10"/>
      <c r="E11" s="10"/>
      <c r="F11" s="10">
        <f t="shared" si="0"/>
        <v>33.776190476190479</v>
      </c>
      <c r="G11" s="11">
        <f t="shared" si="1"/>
        <v>1.2238095238095212</v>
      </c>
      <c r="H11" s="10">
        <f t="shared" si="6"/>
        <v>1.497709750566887</v>
      </c>
      <c r="I11" s="10">
        <f t="shared" si="7"/>
        <v>-1.2214285714285751</v>
      </c>
      <c r="J11" s="10">
        <f t="shared" si="8"/>
        <v>1.4918877551020497</v>
      </c>
      <c r="K11" s="10">
        <f t="shared" si="9"/>
        <v>2.9925056689342355</v>
      </c>
      <c r="L11" s="10">
        <f t="shared" si="2"/>
        <v>3.4965986394557751</v>
      </c>
      <c r="M11" s="10">
        <f t="shared" si="3"/>
        <v>2</v>
      </c>
      <c r="N11" s="10">
        <f t="shared" si="4"/>
        <v>4</v>
      </c>
      <c r="O11" s="10">
        <f t="shared" si="10"/>
        <v>1</v>
      </c>
      <c r="P11" s="10"/>
      <c r="Q11" s="10"/>
      <c r="R11" s="10"/>
      <c r="S11" s="10"/>
      <c r="T11" s="10"/>
      <c r="U11" s="10"/>
    </row>
    <row r="12" spans="1:21" x14ac:dyDescent="0.2">
      <c r="A12">
        <v>11</v>
      </c>
      <c r="B12">
        <v>40</v>
      </c>
      <c r="C12" s="10">
        <f t="shared" si="5"/>
        <v>40.666666666666664</v>
      </c>
      <c r="D12" s="10"/>
      <c r="E12" s="10"/>
      <c r="F12" s="10">
        <f t="shared" si="0"/>
        <v>36.99761904761904</v>
      </c>
      <c r="G12" s="11">
        <f t="shared" si="1"/>
        <v>3.0023809523809604</v>
      </c>
      <c r="H12" s="10">
        <f t="shared" si="6"/>
        <v>9.0142913832200033</v>
      </c>
      <c r="I12" s="10">
        <f t="shared" si="7"/>
        <v>1.7785714285714391</v>
      </c>
      <c r="J12" s="10">
        <f t="shared" si="8"/>
        <v>3.1633163265306496</v>
      </c>
      <c r="K12" s="10">
        <f t="shared" si="9"/>
        <v>3.67434240362812</v>
      </c>
      <c r="L12" s="10">
        <f t="shared" si="2"/>
        <v>7.5059523809524009</v>
      </c>
      <c r="M12" s="10">
        <f t="shared" si="3"/>
        <v>3</v>
      </c>
      <c r="N12" s="10">
        <f t="shared" si="4"/>
        <v>9</v>
      </c>
      <c r="O12" s="10">
        <f t="shared" si="10"/>
        <v>0</v>
      </c>
      <c r="P12" s="10"/>
      <c r="Q12" s="10"/>
      <c r="R12" s="10"/>
      <c r="S12" s="10"/>
      <c r="T12" s="10"/>
      <c r="U12" s="10"/>
    </row>
    <row r="13" spans="1:21" x14ac:dyDescent="0.2">
      <c r="A13">
        <v>12</v>
      </c>
      <c r="B13">
        <v>47</v>
      </c>
      <c r="C13" s="10">
        <f t="shared" si="5"/>
        <v>44</v>
      </c>
      <c r="D13" s="10"/>
      <c r="E13" s="10"/>
      <c r="F13" s="10">
        <f t="shared" si="0"/>
        <v>40.219047619047615</v>
      </c>
      <c r="G13" s="11">
        <f t="shared" si="1"/>
        <v>6.7809523809523853</v>
      </c>
      <c r="H13" s="10">
        <f t="shared" si="6"/>
        <v>45.981315192743821</v>
      </c>
      <c r="I13" s="10">
        <f t="shared" si="7"/>
        <v>3.7785714285714249</v>
      </c>
      <c r="J13" s="10">
        <f t="shared" si="8"/>
        <v>14.2776020408163</v>
      </c>
      <c r="K13" s="10">
        <f t="shared" si="9"/>
        <v>20.359002267573764</v>
      </c>
      <c r="L13" s="10">
        <f t="shared" si="2"/>
        <v>14.427558257345503</v>
      </c>
      <c r="M13" s="10">
        <f t="shared" si="3"/>
        <v>4</v>
      </c>
      <c r="N13" s="10">
        <f t="shared" si="4"/>
        <v>16</v>
      </c>
      <c r="O13" s="10">
        <f t="shared" si="10"/>
        <v>1</v>
      </c>
      <c r="P13" s="10"/>
      <c r="Q13" s="10"/>
      <c r="R13" s="10"/>
      <c r="S13" s="10"/>
      <c r="T13" s="10"/>
      <c r="U13" s="10"/>
    </row>
    <row r="14" spans="1:21" x14ac:dyDescent="0.2">
      <c r="A14">
        <v>13</v>
      </c>
      <c r="B14">
        <v>45</v>
      </c>
      <c r="C14" s="10">
        <f t="shared" si="5"/>
        <v>44.333333333333336</v>
      </c>
      <c r="D14" s="10"/>
      <c r="E14" s="10"/>
      <c r="F14" s="10">
        <f t="shared" si="0"/>
        <v>43.44047619047619</v>
      </c>
      <c r="G14" s="11">
        <f t="shared" si="1"/>
        <v>1.5595238095238102</v>
      </c>
      <c r="H14" s="10">
        <f t="shared" si="6"/>
        <v>2.4321145124716574</v>
      </c>
      <c r="I14" s="10">
        <f t="shared" si="7"/>
        <v>-5.2214285714285751</v>
      </c>
      <c r="J14" s="10">
        <f t="shared" si="8"/>
        <v>27.263316326530649</v>
      </c>
      <c r="K14" s="10">
        <f t="shared" si="9"/>
        <v>10.575056689342414</v>
      </c>
      <c r="L14" s="10">
        <f t="shared" si="2"/>
        <v>3.4656084656084669</v>
      </c>
      <c r="M14" s="10">
        <f t="shared" si="3"/>
        <v>5</v>
      </c>
      <c r="N14" s="10">
        <f t="shared" si="4"/>
        <v>25</v>
      </c>
      <c r="O14" s="10">
        <f t="shared" si="10"/>
        <v>0</v>
      </c>
      <c r="P14" s="10"/>
      <c r="Q14" s="10"/>
      <c r="R14" s="10"/>
      <c r="S14" s="10"/>
      <c r="T14" s="10"/>
      <c r="U14" s="10"/>
    </row>
    <row r="15" spans="1:21" x14ac:dyDescent="0.2">
      <c r="A15">
        <v>14</v>
      </c>
      <c r="B15">
        <v>41</v>
      </c>
      <c r="C15" s="10">
        <f t="shared" si="5"/>
        <v>44</v>
      </c>
      <c r="D15" s="10"/>
      <c r="E15" s="10"/>
      <c r="F15" s="10">
        <f t="shared" si="0"/>
        <v>46.661904761904765</v>
      </c>
      <c r="G15" s="11">
        <f t="shared" si="1"/>
        <v>-5.6619047619047649</v>
      </c>
      <c r="H15" s="10">
        <f t="shared" si="6"/>
        <v>32.05716553287985</v>
      </c>
      <c r="I15" s="10">
        <f t="shared" si="7"/>
        <v>-7.2214285714285751</v>
      </c>
      <c r="J15" s="10">
        <f t="shared" si="8"/>
        <v>52.14903061224495</v>
      </c>
      <c r="K15" s="10">
        <f t="shared" si="9"/>
        <v>-8.8298752834467198</v>
      </c>
      <c r="L15" s="10">
        <f t="shared" si="2"/>
        <v>13.809523809523816</v>
      </c>
      <c r="M15" s="10">
        <f t="shared" si="3"/>
        <v>6</v>
      </c>
      <c r="N15" s="10">
        <f t="shared" si="4"/>
        <v>36</v>
      </c>
      <c r="O15" s="10">
        <f t="shared" si="10"/>
        <v>1</v>
      </c>
      <c r="P15" s="10"/>
      <c r="Q15" s="10"/>
      <c r="R15" s="10"/>
      <c r="S15" s="10"/>
      <c r="T15" s="10"/>
      <c r="U15" s="10"/>
    </row>
    <row r="16" spans="1:21" x14ac:dyDescent="0.2">
      <c r="A16">
        <v>15</v>
      </c>
      <c r="B16">
        <v>46</v>
      </c>
      <c r="C16" s="10">
        <f t="shared" si="5"/>
        <v>29</v>
      </c>
      <c r="D16" s="10"/>
      <c r="E16" s="10"/>
      <c r="F16" s="10">
        <f t="shared" si="0"/>
        <v>49.883333333333326</v>
      </c>
      <c r="G16" s="11">
        <f t="shared" si="1"/>
        <v>-3.8833333333333258</v>
      </c>
      <c r="H16" s="10">
        <f t="shared" si="6"/>
        <v>15.080277777777718</v>
      </c>
      <c r="I16" s="10">
        <f t="shared" si="7"/>
        <v>1.7785714285714391</v>
      </c>
      <c r="J16" s="10">
        <f t="shared" si="8"/>
        <v>3.1633163265306496</v>
      </c>
      <c r="K16" s="10">
        <f t="shared" si="9"/>
        <v>21.987063492063459</v>
      </c>
      <c r="L16" s="10">
        <f t="shared" si="2"/>
        <v>8.4420289855072301</v>
      </c>
      <c r="M16" s="10">
        <f t="shared" si="3"/>
        <v>7</v>
      </c>
      <c r="N16" s="10">
        <f t="shared" si="4"/>
        <v>49</v>
      </c>
      <c r="O16" s="10">
        <v>0</v>
      </c>
      <c r="P16" s="10"/>
      <c r="Q16" s="10"/>
      <c r="R16" s="10"/>
      <c r="S16" s="10"/>
      <c r="T16" s="10"/>
      <c r="U16" s="10"/>
    </row>
    <row r="17" spans="1:21" x14ac:dyDescent="0.2">
      <c r="A17" s="7">
        <f>SUM(A2:A16)</f>
        <v>120</v>
      </c>
      <c r="C17" s="10"/>
      <c r="D17" s="10"/>
      <c r="E17" s="10"/>
      <c r="F17" s="10"/>
      <c r="G17" s="10"/>
      <c r="H17" s="12">
        <f>SUM(H2:H16)</f>
        <v>141.60476190476197</v>
      </c>
      <c r="I17" s="10"/>
      <c r="J17" s="12">
        <f>SUM(J3:J16)</f>
        <v>151.57214285714304</v>
      </c>
      <c r="K17" s="12">
        <f>SUM(K3:K16)</f>
        <v>57.538412698412728</v>
      </c>
      <c r="L17" s="12">
        <f>SUM(L2:L16)</f>
        <v>182.78062810025955</v>
      </c>
      <c r="M17" s="10"/>
      <c r="N17" s="10"/>
      <c r="O17" s="10"/>
      <c r="P17" s="10"/>
      <c r="Q17" s="10"/>
      <c r="R17" s="10"/>
      <c r="S17" s="10"/>
      <c r="T17" s="10"/>
      <c r="U17" s="10"/>
    </row>
    <row r="20" spans="1:21" ht="15" customHeight="1" x14ac:dyDescent="0.2">
      <c r="A20" s="14" t="s">
        <v>28</v>
      </c>
      <c r="B20" s="14"/>
      <c r="C20" s="16">
        <f>(MAX(G2:G16) - MIN(G2:G16))/ STDEV(G2:G16)</f>
        <v>3.9124175987739038</v>
      </c>
    </row>
    <row r="21" spans="1:21" x14ac:dyDescent="0.2">
      <c r="A21" s="14"/>
      <c r="B21" s="14"/>
      <c r="C21" s="16"/>
    </row>
    <row r="22" spans="1:21" x14ac:dyDescent="0.2">
      <c r="C22" s="14" t="s">
        <v>29</v>
      </c>
      <c r="D22" s="14"/>
      <c r="G22" s="13" t="s">
        <v>33</v>
      </c>
      <c r="K22" s="15" t="s">
        <v>37</v>
      </c>
      <c r="L22" s="16"/>
    </row>
    <row r="23" spans="1:21" ht="17" x14ac:dyDescent="0.25">
      <c r="C23" s="14"/>
      <c r="D23" s="14"/>
      <c r="G23" t="s">
        <v>34</v>
      </c>
      <c r="H23" t="s">
        <v>35</v>
      </c>
      <c r="K23" t="s">
        <v>38</v>
      </c>
      <c r="L23">
        <f>1.05*B27</f>
        <v>3.3393674550728925</v>
      </c>
    </row>
    <row r="24" spans="1:21" x14ac:dyDescent="0.2">
      <c r="C24" s="14"/>
      <c r="D24" s="14"/>
      <c r="F24" t="s">
        <v>36</v>
      </c>
      <c r="G24" s="10">
        <f>F2-H24</f>
        <v>1.5619047619047599</v>
      </c>
      <c r="H24" s="10">
        <f>F3-F2</f>
        <v>3.2214285714285715</v>
      </c>
      <c r="J24" t="s">
        <v>36</v>
      </c>
      <c r="K24" t="s">
        <v>39</v>
      </c>
      <c r="L24" t="s">
        <v>40</v>
      </c>
    </row>
    <row r="25" spans="1:21" x14ac:dyDescent="0.2">
      <c r="C25" s="14"/>
      <c r="D25" s="14"/>
      <c r="F25">
        <v>16</v>
      </c>
      <c r="G25">
        <f>$G$24+$H$24*$F25</f>
        <v>53.104761904761901</v>
      </c>
      <c r="J25">
        <v>16</v>
      </c>
      <c r="K25">
        <f>G25+L23</f>
        <v>56.44412935983479</v>
      </c>
      <c r="L25">
        <f>G25-L23</f>
        <v>49.765394449689012</v>
      </c>
    </row>
    <row r="26" spans="1:21" x14ac:dyDescent="0.2">
      <c r="F26">
        <v>17</v>
      </c>
      <c r="G26">
        <f>$G$24+$H$24*$F26</f>
        <v>56.326190476190476</v>
      </c>
      <c r="J26">
        <v>17</v>
      </c>
      <c r="K26">
        <f>G26+L23</f>
        <v>59.665557931263365</v>
      </c>
      <c r="L26">
        <f>G26-L23</f>
        <v>52.986823021117587</v>
      </c>
    </row>
    <row r="27" spans="1:21" x14ac:dyDescent="0.2">
      <c r="A27" t="s">
        <v>30</v>
      </c>
      <c r="B27">
        <f>STDEV(G2:G16)</f>
        <v>3.1803499572122784</v>
      </c>
    </row>
    <row r="28" spans="1:21" x14ac:dyDescent="0.2">
      <c r="A28" s="14" t="s">
        <v>31</v>
      </c>
      <c r="B28">
        <f>ABS(SUM(G2:G16)/COUNT(G2:G16))</f>
        <v>1.8947806286936005E-15</v>
      </c>
    </row>
    <row r="29" spans="1:21" x14ac:dyDescent="0.2">
      <c r="A29" s="14"/>
    </row>
    <row r="30" spans="1:21" ht="15" customHeight="1" x14ac:dyDescent="0.2">
      <c r="A30" s="14"/>
      <c r="C30" s="14" t="s">
        <v>32</v>
      </c>
      <c r="D30" s="14"/>
      <c r="E30" s="14"/>
    </row>
    <row r="31" spans="1:21" x14ac:dyDescent="0.2">
      <c r="A31" s="14"/>
      <c r="C31" s="14"/>
      <c r="D31" s="14"/>
      <c r="E31" s="14"/>
    </row>
    <row r="32" spans="1:21" x14ac:dyDescent="0.2">
      <c r="C32" s="14"/>
      <c r="D32" s="14"/>
      <c r="E32" s="14"/>
    </row>
    <row r="33" spans="3:5" x14ac:dyDescent="0.2">
      <c r="C33" s="14"/>
      <c r="D33" s="14"/>
      <c r="E33" s="14"/>
    </row>
  </sheetData>
  <mergeCells count="7">
    <mergeCell ref="C22:D25"/>
    <mergeCell ref="A28:A31"/>
    <mergeCell ref="C30:E33"/>
    <mergeCell ref="K22:L22"/>
    <mergeCell ref="Q3:U5"/>
    <mergeCell ref="A20:B21"/>
    <mergeCell ref="C20:C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CA3E0-E705-2F48-9C0B-E6DCC10A06A4}">
  <dimension ref="A1:H35"/>
  <sheetViews>
    <sheetView tabSelected="1" zoomScale="136" workbookViewId="0">
      <selection activeCell="J14" sqref="J14"/>
    </sheetView>
  </sheetViews>
  <sheetFormatPr baseColWidth="10" defaultRowHeight="15" x14ac:dyDescent="0.2"/>
  <cols>
    <col min="1" max="1" width="34" bestFit="1" customWidth="1"/>
    <col min="2" max="2" width="12.6640625" bestFit="1" customWidth="1"/>
    <col min="3" max="3" width="12.5" bestFit="1" customWidth="1"/>
    <col min="4" max="4" width="14" bestFit="1" customWidth="1"/>
    <col min="5" max="5" width="15.5" bestFit="1" customWidth="1"/>
    <col min="6" max="6" width="20.5" bestFit="1" customWidth="1"/>
  </cols>
  <sheetData>
    <row r="1" spans="1:6" ht="16" x14ac:dyDescent="0.2">
      <c r="A1" s="18" t="s">
        <v>41</v>
      </c>
      <c r="B1" s="20" t="s">
        <v>50</v>
      </c>
      <c r="C1" s="20" t="s">
        <v>52</v>
      </c>
      <c r="D1" s="20" t="s">
        <v>53</v>
      </c>
      <c r="E1" s="20" t="s">
        <v>51</v>
      </c>
      <c r="F1" s="19" t="s">
        <v>54</v>
      </c>
    </row>
    <row r="2" spans="1:6" ht="16" x14ac:dyDescent="0.2">
      <c r="A2" s="19" t="s">
        <v>43</v>
      </c>
      <c r="B2">
        <v>7</v>
      </c>
      <c r="C2">
        <v>9</v>
      </c>
      <c r="D2">
        <v>9</v>
      </c>
      <c r="E2">
        <f>SUM(B2:D2)</f>
        <v>25</v>
      </c>
      <c r="F2">
        <f>E2/$E$10</f>
        <v>0.15527950310559005</v>
      </c>
    </row>
    <row r="3" spans="1:6" ht="16" x14ac:dyDescent="0.2">
      <c r="A3" s="19" t="s">
        <v>42</v>
      </c>
      <c r="B3">
        <v>6</v>
      </c>
      <c r="C3">
        <v>5</v>
      </c>
      <c r="D3">
        <v>8</v>
      </c>
      <c r="E3">
        <f t="shared" ref="E3:E9" si="0">SUM(B3:D3)</f>
        <v>19</v>
      </c>
      <c r="F3">
        <f t="shared" ref="F3:F9" si="1">E3/$E$10</f>
        <v>0.11801242236024845</v>
      </c>
    </row>
    <row r="4" spans="1:6" ht="16" x14ac:dyDescent="0.2">
      <c r="A4" s="19" t="s">
        <v>44</v>
      </c>
      <c r="B4">
        <v>8</v>
      </c>
      <c r="C4">
        <v>5</v>
      </c>
      <c r="D4">
        <v>8</v>
      </c>
      <c r="E4">
        <f t="shared" si="0"/>
        <v>21</v>
      </c>
      <c r="F4">
        <f t="shared" si="1"/>
        <v>0.13043478260869565</v>
      </c>
    </row>
    <row r="5" spans="1:6" ht="16" x14ac:dyDescent="0.2">
      <c r="A5" s="19" t="s">
        <v>45</v>
      </c>
      <c r="B5">
        <v>6</v>
      </c>
      <c r="C5">
        <v>8</v>
      </c>
      <c r="D5">
        <v>6</v>
      </c>
      <c r="E5">
        <f t="shared" si="0"/>
        <v>20</v>
      </c>
      <c r="F5">
        <f t="shared" si="1"/>
        <v>0.12422360248447205</v>
      </c>
    </row>
    <row r="6" spans="1:6" ht="16" x14ac:dyDescent="0.2">
      <c r="A6" s="19" t="s">
        <v>46</v>
      </c>
      <c r="B6">
        <v>5</v>
      </c>
      <c r="C6">
        <v>4</v>
      </c>
      <c r="D6">
        <v>6</v>
      </c>
      <c r="E6">
        <f t="shared" si="0"/>
        <v>15</v>
      </c>
      <c r="F6">
        <f t="shared" si="1"/>
        <v>9.3167701863354033E-2</v>
      </c>
    </row>
    <row r="7" spans="1:6" ht="16" x14ac:dyDescent="0.2">
      <c r="A7" s="19" t="s">
        <v>47</v>
      </c>
      <c r="B7">
        <v>6</v>
      </c>
      <c r="C7">
        <v>8</v>
      </c>
      <c r="D7">
        <v>5</v>
      </c>
      <c r="E7">
        <f t="shared" si="0"/>
        <v>19</v>
      </c>
      <c r="F7">
        <f t="shared" si="1"/>
        <v>0.11801242236024845</v>
      </c>
    </row>
    <row r="8" spans="1:6" ht="16" x14ac:dyDescent="0.2">
      <c r="A8" s="19" t="s">
        <v>48</v>
      </c>
      <c r="B8">
        <v>9</v>
      </c>
      <c r="C8">
        <v>10</v>
      </c>
      <c r="D8">
        <v>8</v>
      </c>
      <c r="E8">
        <f t="shared" si="0"/>
        <v>27</v>
      </c>
      <c r="F8">
        <f t="shared" si="1"/>
        <v>0.16770186335403728</v>
      </c>
    </row>
    <row r="9" spans="1:6" ht="16" x14ac:dyDescent="0.2">
      <c r="A9" s="19" t="s">
        <v>49</v>
      </c>
      <c r="B9">
        <v>5</v>
      </c>
      <c r="C9">
        <v>6</v>
      </c>
      <c r="D9">
        <v>4</v>
      </c>
      <c r="E9">
        <f t="shared" si="0"/>
        <v>15</v>
      </c>
      <c r="F9">
        <f t="shared" si="1"/>
        <v>9.3167701863354033E-2</v>
      </c>
    </row>
    <row r="10" spans="1:6" x14ac:dyDescent="0.2">
      <c r="E10" s="7">
        <f>SUM(E2:E9)</f>
        <v>161</v>
      </c>
      <c r="F10" s="7">
        <f>SUM(F2:F9)</f>
        <v>0.99999999999999989</v>
      </c>
    </row>
    <row r="13" spans="1:6" ht="16" customHeight="1" x14ac:dyDescent="0.2">
      <c r="A13" s="21" t="s">
        <v>55</v>
      </c>
      <c r="B13" s="22" t="s">
        <v>56</v>
      </c>
      <c r="C13" s="23" t="s">
        <v>57</v>
      </c>
      <c r="D13" s="23" t="s">
        <v>58</v>
      </c>
    </row>
    <row r="14" spans="1:6" x14ac:dyDescent="0.2">
      <c r="A14" s="21"/>
      <c r="B14" s="22"/>
      <c r="C14" s="23"/>
      <c r="D14" s="23"/>
    </row>
    <row r="15" spans="1:6" x14ac:dyDescent="0.2">
      <c r="A15" s="8">
        <v>1</v>
      </c>
      <c r="B15">
        <f>AVERAGE(5,5,5)</f>
        <v>5</v>
      </c>
      <c r="C15">
        <f>AVERAGE(3,2,2)</f>
        <v>2.3333333333333335</v>
      </c>
      <c r="D15">
        <f>AVERAGE(3,4,4)</f>
        <v>3.6666666666666665</v>
      </c>
    </row>
    <row r="16" spans="1:6" x14ac:dyDescent="0.2">
      <c r="A16" s="8">
        <v>2</v>
      </c>
      <c r="B16">
        <f>AVERAGE(3,4,3)</f>
        <v>3.3333333333333335</v>
      </c>
      <c r="C16">
        <f>AVERAGE(5,5,4)</f>
        <v>4.666666666666667</v>
      </c>
      <c r="D16">
        <f>AVERAGE(2,2,1)</f>
        <v>1.6666666666666667</v>
      </c>
    </row>
    <row r="17" spans="1:8" x14ac:dyDescent="0.2">
      <c r="A17" s="8">
        <v>3</v>
      </c>
      <c r="B17">
        <f>AVERAGE(4,4,4)</f>
        <v>4</v>
      </c>
      <c r="C17">
        <f>AVERAGE(4,5,5)</f>
        <v>4.666666666666667</v>
      </c>
      <c r="D17">
        <f>AVERAGE(5,4,4)</f>
        <v>4.333333333333333</v>
      </c>
    </row>
    <row r="18" spans="1:8" x14ac:dyDescent="0.2">
      <c r="A18" s="8">
        <v>4</v>
      </c>
      <c r="B18">
        <f>AVERAGE(3,4,2)</f>
        <v>3</v>
      </c>
      <c r="C18">
        <f>AVERAGE(5,5,5)</f>
        <v>5</v>
      </c>
      <c r="D18">
        <f>AVERAGE(3,4,4)</f>
        <v>3.6666666666666665</v>
      </c>
    </row>
    <row r="19" spans="1:8" x14ac:dyDescent="0.2">
      <c r="A19" s="8">
        <v>5</v>
      </c>
      <c r="B19">
        <f>AVERAGE(5,3,3)</f>
        <v>3.6666666666666665</v>
      </c>
      <c r="C19">
        <f>AVERAGE(4,5,5)</f>
        <v>4.666666666666667</v>
      </c>
      <c r="D19">
        <f>AVERAGE(5,4,4)</f>
        <v>4.333333333333333</v>
      </c>
    </row>
    <row r="20" spans="1:8" x14ac:dyDescent="0.2">
      <c r="A20" s="8">
        <v>6</v>
      </c>
      <c r="B20">
        <f>AVERAGE(5,3,4)</f>
        <v>4</v>
      </c>
      <c r="C20">
        <f>AVERAGE(3,2,4)</f>
        <v>3</v>
      </c>
      <c r="D20">
        <f>AVERAGE(5,4,5)</f>
        <v>4.666666666666667</v>
      </c>
    </row>
    <row r="21" spans="1:8" x14ac:dyDescent="0.2">
      <c r="A21" s="8">
        <v>7</v>
      </c>
      <c r="B21">
        <f>AVERAGE(5,3,3)</f>
        <v>3.6666666666666665</v>
      </c>
      <c r="C21">
        <f>AVERAGE(4,5,5)</f>
        <v>4.666666666666667</v>
      </c>
      <c r="D21">
        <f>AVERAGE(5,5,4)</f>
        <v>4.666666666666667</v>
      </c>
    </row>
    <row r="22" spans="1:8" x14ac:dyDescent="0.2">
      <c r="A22" s="8">
        <v>8</v>
      </c>
      <c r="B22">
        <f>AVERAGE(4,4,4)</f>
        <v>4</v>
      </c>
      <c r="C22">
        <f>AVERAGE(3,4,3)</f>
        <v>3.3333333333333335</v>
      </c>
      <c r="D22">
        <f>AVERAGE(5,3,5)</f>
        <v>4.333333333333333</v>
      </c>
    </row>
    <row r="25" spans="1:8" x14ac:dyDescent="0.2">
      <c r="A25" s="24" t="s">
        <v>59</v>
      </c>
      <c r="B25" s="22" t="s">
        <v>56</v>
      </c>
      <c r="C25" s="23" t="s">
        <v>57</v>
      </c>
      <c r="D25" s="23" t="s">
        <v>58</v>
      </c>
    </row>
    <row r="26" spans="1:8" x14ac:dyDescent="0.2">
      <c r="A26" s="24"/>
      <c r="B26" s="22"/>
      <c r="C26" s="23"/>
      <c r="D26" s="23"/>
    </row>
    <row r="27" spans="1:8" x14ac:dyDescent="0.2">
      <c r="A27" s="2">
        <v>1</v>
      </c>
      <c r="B27">
        <f>F2*B15</f>
        <v>0.77639751552795022</v>
      </c>
      <c r="C27">
        <f>F2*C15</f>
        <v>0.36231884057971014</v>
      </c>
      <c r="D27">
        <f>F2*D15</f>
        <v>0.56935817805383016</v>
      </c>
    </row>
    <row r="28" spans="1:8" x14ac:dyDescent="0.2">
      <c r="A28" s="2">
        <v>2</v>
      </c>
      <c r="B28">
        <f>F3*B16</f>
        <v>0.39337474120082816</v>
      </c>
      <c r="C28">
        <f t="shared" ref="C28:C34" si="2">F3*C16</f>
        <v>0.55072463768115942</v>
      </c>
      <c r="D28">
        <f t="shared" ref="D28:D34" si="3">F3*D16</f>
        <v>0.19668737060041408</v>
      </c>
      <c r="F28" s="26" t="s">
        <v>60</v>
      </c>
      <c r="G28" s="25"/>
      <c r="H28" s="25"/>
    </row>
    <row r="29" spans="1:8" x14ac:dyDescent="0.2">
      <c r="A29" s="2">
        <v>3</v>
      </c>
      <c r="B29">
        <f t="shared" ref="B29:B34" si="4">F4*B17</f>
        <v>0.52173913043478259</v>
      </c>
      <c r="C29">
        <f t="shared" si="2"/>
        <v>0.60869565217391308</v>
      </c>
      <c r="D29">
        <f t="shared" si="3"/>
        <v>0.56521739130434778</v>
      </c>
      <c r="F29" s="25"/>
      <c r="G29" s="25"/>
      <c r="H29" s="25"/>
    </row>
    <row r="30" spans="1:8" x14ac:dyDescent="0.2">
      <c r="A30" s="2">
        <v>4</v>
      </c>
      <c r="B30">
        <f t="shared" si="4"/>
        <v>0.37267080745341613</v>
      </c>
      <c r="C30">
        <f t="shared" si="2"/>
        <v>0.6211180124223602</v>
      </c>
      <c r="D30">
        <f t="shared" si="3"/>
        <v>0.45548654244306414</v>
      </c>
      <c r="F30" s="25"/>
      <c r="G30" s="25"/>
      <c r="H30" s="25"/>
    </row>
    <row r="31" spans="1:8" x14ac:dyDescent="0.2">
      <c r="A31" s="2">
        <v>5</v>
      </c>
      <c r="B31">
        <f t="shared" si="4"/>
        <v>0.34161490683229812</v>
      </c>
      <c r="C31">
        <f t="shared" si="2"/>
        <v>0.43478260869565216</v>
      </c>
      <c r="D31">
        <f t="shared" si="3"/>
        <v>0.40372670807453409</v>
      </c>
      <c r="F31" s="25"/>
      <c r="G31" s="25"/>
      <c r="H31" s="25"/>
    </row>
    <row r="32" spans="1:8" x14ac:dyDescent="0.2">
      <c r="A32" s="2">
        <v>6</v>
      </c>
      <c r="B32">
        <f t="shared" si="4"/>
        <v>0.47204968944099379</v>
      </c>
      <c r="C32">
        <f t="shared" si="2"/>
        <v>0.35403726708074534</v>
      </c>
      <c r="D32">
        <f t="shared" si="3"/>
        <v>0.55072463768115942</v>
      </c>
      <c r="F32" s="25"/>
      <c r="G32" s="25"/>
      <c r="H32" s="25"/>
    </row>
    <row r="33" spans="1:4" x14ac:dyDescent="0.2">
      <c r="A33" s="2">
        <v>7</v>
      </c>
      <c r="B33">
        <f t="shared" si="4"/>
        <v>0.6149068322981367</v>
      </c>
      <c r="C33">
        <f t="shared" si="2"/>
        <v>0.78260869565217406</v>
      </c>
      <c r="D33">
        <f t="shared" si="3"/>
        <v>0.78260869565217406</v>
      </c>
    </row>
    <row r="34" spans="1:4" x14ac:dyDescent="0.2">
      <c r="A34" s="2">
        <v>8</v>
      </c>
      <c r="B34">
        <f t="shared" si="4"/>
        <v>0.37267080745341613</v>
      </c>
      <c r="C34">
        <f t="shared" si="2"/>
        <v>0.3105590062111801</v>
      </c>
      <c r="D34">
        <f t="shared" si="3"/>
        <v>0.40372670807453409</v>
      </c>
    </row>
    <row r="35" spans="1:4" x14ac:dyDescent="0.2">
      <c r="B35" s="7">
        <f>SUM(B27:B34)</f>
        <v>3.8654244306418213</v>
      </c>
      <c r="C35" s="7">
        <f t="shared" ref="C35:D35" si="5">SUM(C27:C34)</f>
        <v>4.0248447204968949</v>
      </c>
      <c r="D35" s="7">
        <f t="shared" si="5"/>
        <v>3.9275362318840576</v>
      </c>
    </row>
  </sheetData>
  <mergeCells count="9">
    <mergeCell ref="F28:H32"/>
    <mergeCell ref="A13:A14"/>
    <mergeCell ref="B13:B14"/>
    <mergeCell ref="C13:C14"/>
    <mergeCell ref="D13:D14"/>
    <mergeCell ref="A25:A26"/>
    <mergeCell ref="B25:B26"/>
    <mergeCell ref="C25:C26"/>
    <mergeCell ref="D25:D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Задание 1</vt:lpstr>
      <vt:lpstr>Задание 2</vt:lpstr>
      <vt:lpstr>Задание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Королёв</dc:creator>
  <cp:lastModifiedBy>e314</cp:lastModifiedBy>
  <dcterms:created xsi:type="dcterms:W3CDTF">2015-06-05T18:19:34Z</dcterms:created>
  <dcterms:modified xsi:type="dcterms:W3CDTF">2025-11-28T07:51:44Z</dcterms:modified>
</cp:coreProperties>
</file>