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korolev/Documents/university/3th course/МИЭП/"/>
    </mc:Choice>
  </mc:AlternateContent>
  <xr:revisionPtr revIDLastSave="0" documentId="13_ncr:1_{9DB692AA-8C3B-1A45-9676-031577EBE031}" xr6:coauthVersionLast="47" xr6:coauthVersionMax="47" xr10:uidLastSave="{00000000-0000-0000-0000-000000000000}"/>
  <bookViews>
    <workbookView xWindow="0" yWindow="680" windowWidth="29400" windowHeight="16880" xr2:uid="{7A80CD19-2343-0E4A-BAB7-7725E2C7197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1" i="1" l="1"/>
  <c r="W21" i="1"/>
  <c r="X20" i="1"/>
  <c r="W20" i="1"/>
  <c r="Y21" i="1"/>
  <c r="Y20" i="1"/>
  <c r="U21" i="1"/>
  <c r="U20" i="1"/>
  <c r="S20" i="1"/>
  <c r="R20" i="1"/>
  <c r="Q20" i="1"/>
  <c r="T3" i="1"/>
  <c r="S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3" i="1"/>
  <c r="Q2" i="1"/>
  <c r="P2" i="1"/>
  <c r="H18" i="1"/>
  <c r="F18" i="1"/>
  <c r="O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3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  <c r="C1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  <c r="K38" i="1"/>
  <c r="L38" i="1"/>
  <c r="C40" i="1" s="1"/>
  <c r="N38" i="1"/>
  <c r="O38" i="1"/>
  <c r="M38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22" i="1"/>
  <c r="A38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22" i="1"/>
  <c r="J38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2" i="1"/>
  <c r="C38" i="1"/>
  <c r="F27" i="1" s="1"/>
  <c r="E31" i="1"/>
  <c r="B18" i="1"/>
  <c r="G37" i="1" s="1"/>
  <c r="M31" i="1" l="1"/>
  <c r="I31" i="1"/>
  <c r="E30" i="1"/>
  <c r="F36" i="1"/>
  <c r="F26" i="1"/>
  <c r="G31" i="1"/>
  <c r="E29" i="1"/>
  <c r="F25" i="1"/>
  <c r="E22" i="1"/>
  <c r="F34" i="1"/>
  <c r="G29" i="1"/>
  <c r="E26" i="1"/>
  <c r="F23" i="1"/>
  <c r="E36" i="1"/>
  <c r="E24" i="1"/>
  <c r="G26" i="1"/>
  <c r="E28" i="1"/>
  <c r="F29" i="1"/>
  <c r="G34" i="1"/>
  <c r="G24" i="1"/>
  <c r="F35" i="1"/>
  <c r="G30" i="1"/>
  <c r="E27" i="1"/>
  <c r="F24" i="1"/>
  <c r="E37" i="1"/>
  <c r="F33" i="1"/>
  <c r="G28" i="1"/>
  <c r="E25" i="1"/>
  <c r="F32" i="1"/>
  <c r="G22" i="1"/>
  <c r="G27" i="1"/>
  <c r="E35" i="1"/>
  <c r="F31" i="1"/>
  <c r="G36" i="1"/>
  <c r="E34" i="1"/>
  <c r="E23" i="1"/>
  <c r="F30" i="1"/>
  <c r="G35" i="1"/>
  <c r="G25" i="1"/>
  <c r="E33" i="1"/>
  <c r="E32" i="1"/>
  <c r="F22" i="1"/>
  <c r="F28" i="1"/>
  <c r="G33" i="1"/>
  <c r="G23" i="1"/>
  <c r="F37" i="1"/>
  <c r="G32" i="1"/>
  <c r="M25" i="1" l="1"/>
  <c r="I25" i="1"/>
  <c r="M33" i="1"/>
  <c r="I33" i="1"/>
  <c r="M23" i="1"/>
  <c r="I23" i="1"/>
  <c r="M34" i="1"/>
  <c r="I34" i="1"/>
  <c r="M37" i="1"/>
  <c r="I37" i="1"/>
  <c r="M36" i="1"/>
  <c r="I36" i="1"/>
  <c r="M27" i="1"/>
  <c r="I27" i="1"/>
  <c r="M30" i="1"/>
  <c r="I30" i="1"/>
  <c r="M28" i="1"/>
  <c r="I28" i="1"/>
  <c r="I35" i="1"/>
  <c r="M35" i="1"/>
  <c r="M26" i="1"/>
  <c r="I26" i="1"/>
  <c r="M22" i="1"/>
  <c r="I22" i="1"/>
  <c r="M29" i="1"/>
  <c r="I29" i="1"/>
  <c r="I24" i="1"/>
  <c r="M24" i="1"/>
  <c r="I32" i="1"/>
  <c r="M32" i="1"/>
  <c r="I38" i="1" l="1"/>
  <c r="A4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</future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<sst xmlns="http://schemas.openxmlformats.org/spreadsheetml/2006/main" count="32" uniqueCount="28">
  <si>
    <t>i</t>
  </si>
  <si>
    <r>
      <t>y</t>
    </r>
    <r>
      <rPr>
        <i/>
        <sz val="9"/>
        <color rgb="FF000000"/>
        <rFont val="Times New Roman"/>
        <family val="1"/>
      </rPr>
      <t>i</t>
    </r>
  </si>
  <si>
    <r>
      <t>x</t>
    </r>
    <r>
      <rPr>
        <i/>
        <sz val="9"/>
        <color rgb="FF000000"/>
        <rFont val="Times New Roman"/>
        <family val="1"/>
      </rPr>
      <t>i</t>
    </r>
  </si>
  <si>
    <t>Вычисление коэффициентов парной коррелляции</t>
  </si>
  <si>
    <t>Расходы на рекламу (млн.р./год)</t>
  </si>
  <si>
    <t>Цена (руб. за единицу)</t>
  </si>
  <si>
    <t>Разница для факторов</t>
  </si>
  <si>
    <t>Разница для отклика</t>
  </si>
  <si>
    <t>Коэффициент парной коррелляции</t>
  </si>
  <si>
    <t>Квадрат разницы для факторов</t>
  </si>
  <si>
    <t>Квадрат разницы отклика</t>
  </si>
  <si>
    <t>Так как коэффициент парной корреляции у расходов на рекламу больше, то поэтому он является более тесным фактором по сравнению с ценой</t>
  </si>
  <si>
    <t>-</t>
  </si>
  <si>
    <t>Поворотные точки</t>
  </si>
  <si>
    <t>Случайность ост. комп.</t>
  </si>
  <si>
    <r>
      <t>d &gt; d</t>
    </r>
    <r>
      <rPr>
        <vertAlign val="subscript"/>
        <sz val="16"/>
        <color theme="1"/>
        <rFont val="Aptos Narrow (Основной текст)"/>
        <charset val="204"/>
      </rPr>
      <t>2 (1,36) - следовательно автокорреляции нет</t>
    </r>
  </si>
  <si>
    <t>R / S (3,12 - 4,09)</t>
  </si>
  <si>
    <t>Значение не попадает в интервал, следовательно гипотеза о нормальном распределении отвергается</t>
  </si>
  <si>
    <t>Средняя относительная ошибка, %</t>
  </si>
  <si>
    <t>Коэффициент эластичности</t>
  </si>
  <si>
    <t>Средний прирост</t>
  </si>
  <si>
    <r>
      <t>x</t>
    </r>
    <r>
      <rPr>
        <vertAlign val="subscript"/>
        <sz val="12"/>
        <color theme="1"/>
        <rFont val="Aptos Narrow (Основной текст)"/>
        <charset val="204"/>
      </rPr>
      <t>17</t>
    </r>
  </si>
  <si>
    <r>
      <t>x</t>
    </r>
    <r>
      <rPr>
        <vertAlign val="subscript"/>
        <sz val="12"/>
        <color theme="1"/>
        <rFont val="Aptos Narrow (Основной текст)"/>
        <charset val="204"/>
      </rPr>
      <t>18</t>
    </r>
  </si>
  <si>
    <t>Точечный прогноз</t>
  </si>
  <si>
    <t>Интервальный прогноз</t>
  </si>
  <si>
    <r>
      <t xml:space="preserve">U </t>
    </r>
    <r>
      <rPr>
        <vertAlign val="subscript"/>
        <sz val="12"/>
        <color theme="1"/>
        <rFont val="Aptos Narrow (Основной текст)"/>
        <charset val="204"/>
      </rPr>
      <t>17</t>
    </r>
  </si>
  <si>
    <r>
      <t xml:space="preserve">U </t>
    </r>
    <r>
      <rPr>
        <vertAlign val="subscript"/>
        <sz val="12"/>
        <color theme="1"/>
        <rFont val="Aptos Narrow (Основной текст)"/>
        <charset val="204"/>
      </rPr>
      <t>18</t>
    </r>
  </si>
  <si>
    <t>Модель имеет низкую точность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</si>
</sst>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charset val="204"/>
      <scheme val="minor"/>
    </font>
    <font>
      <i/>
      <sz val="14"/>
      <color rgb="FF000000"/>
      <name val="Times New Roman"/>
      <family val="1"/>
    </font>
    <font>
      <i/>
      <sz val="9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Aptos Narrow"/>
      <family val="2"/>
      <charset val="204"/>
      <scheme val="minor"/>
    </font>
    <font>
      <sz val="14"/>
      <color rgb="FF0A0A0A"/>
      <name val="Aptos Narrow"/>
    </font>
    <font>
      <sz val="14"/>
      <color theme="1"/>
      <name val="Aptos Narrow"/>
      <family val="2"/>
      <charset val="204"/>
      <scheme val="minor"/>
    </font>
    <font>
      <vertAlign val="subscript"/>
      <sz val="12"/>
      <color theme="1"/>
      <name val="Aptos Narrow (Основной текст)"/>
      <charset val="204"/>
    </font>
    <font>
      <sz val="16"/>
      <color theme="1"/>
      <name val="Aptos Narrow"/>
      <family val="2"/>
      <charset val="204"/>
      <scheme val="minor"/>
    </font>
    <font>
      <vertAlign val="subscript"/>
      <sz val="16"/>
      <color theme="1"/>
      <name val="Aptos Narrow (Основной текст)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0" fontId="0" fillId="4" borderId="0" xfId="0" applyFill="1"/>
    <xf numFmtId="0" fontId="0" fillId="0" borderId="2" xfId="0" applyBorder="1"/>
    <xf numFmtId="0" fontId="0" fillId="0" borderId="3" xfId="0" applyBorder="1"/>
    <xf numFmtId="0" fontId="5" fillId="0" borderId="5" xfId="0" applyFont="1" applyBorder="1"/>
    <xf numFmtId="0" fontId="6" fillId="0" borderId="5" xfId="0" applyFont="1" applyBorder="1"/>
    <xf numFmtId="0" fontId="0" fillId="0" borderId="6" xfId="0" applyBorder="1"/>
    <xf numFmtId="0" fontId="6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/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/>
    <xf numFmtId="0" fontId="4" fillId="0" borderId="6" xfId="0" applyFont="1" applyBorder="1"/>
    <xf numFmtId="0" fontId="4" fillId="0" borderId="9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2" borderId="0" xfId="0" applyFill="1" applyAlignment="1">
      <alignment horizontal="center" vertical="center" wrapText="1"/>
    </xf>
    <xf numFmtId="0" fontId="0" fillId="0" borderId="8" xfId="0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Фактические и прогнозируемые значения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Фактические значения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Лист1!$S$25:$S$42</c:f>
              <c:numCache>
                <c:formatCode>General</c:formatCode>
                <c:ptCount val="18"/>
                <c:pt idx="0">
                  <c:v>126</c:v>
                </c:pt>
                <c:pt idx="1">
                  <c:v>137</c:v>
                </c:pt>
                <c:pt idx="2">
                  <c:v>148</c:v>
                </c:pt>
                <c:pt idx="3">
                  <c:v>191</c:v>
                </c:pt>
                <c:pt idx="4">
                  <c:v>274</c:v>
                </c:pt>
                <c:pt idx="5">
                  <c:v>370</c:v>
                </c:pt>
                <c:pt idx="6">
                  <c:v>432</c:v>
                </c:pt>
                <c:pt idx="7">
                  <c:v>445</c:v>
                </c:pt>
                <c:pt idx="8">
                  <c:v>367</c:v>
                </c:pt>
                <c:pt idx="9">
                  <c:v>367</c:v>
                </c:pt>
                <c:pt idx="10">
                  <c:v>321</c:v>
                </c:pt>
                <c:pt idx="11">
                  <c:v>307</c:v>
                </c:pt>
                <c:pt idx="12">
                  <c:v>331</c:v>
                </c:pt>
                <c:pt idx="13">
                  <c:v>345</c:v>
                </c:pt>
                <c:pt idx="14">
                  <c:v>364</c:v>
                </c:pt>
                <c:pt idx="15">
                  <c:v>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53-4247-9D26-048576150385}"/>
            </c:ext>
          </c:extLst>
        </c:ser>
        <c:ser>
          <c:idx val="1"/>
          <c:order val="1"/>
          <c:tx>
            <c:v>Прогнозируемые значения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Лист1!$T$25:$T$42</c:f>
              <c:numCache>
                <c:formatCode>General</c:formatCode>
                <c:ptCount val="18"/>
                <c:pt idx="0">
                  <c:v>235.21945199999999</c:v>
                </c:pt>
                <c:pt idx="1">
                  <c:v>246.03870800000001</c:v>
                </c:pt>
                <c:pt idx="2">
                  <c:v>232.51463799999999</c:v>
                </c:pt>
                <c:pt idx="3">
                  <c:v>298.78258299999999</c:v>
                </c:pt>
                <c:pt idx="4">
                  <c:v>292.02054800000002</c:v>
                </c:pt>
                <c:pt idx="5">
                  <c:v>312.30665399999998</c:v>
                </c:pt>
                <c:pt idx="6">
                  <c:v>379.92700600000001</c:v>
                </c:pt>
                <c:pt idx="7">
                  <c:v>434.02328799999998</c:v>
                </c:pt>
                <c:pt idx="8">
                  <c:v>448.899765</c:v>
                </c:pt>
                <c:pt idx="9">
                  <c:v>324.478317</c:v>
                </c:pt>
                <c:pt idx="10">
                  <c:v>297.43017600000002</c:v>
                </c:pt>
                <c:pt idx="11">
                  <c:v>269.029628</c:v>
                </c:pt>
                <c:pt idx="12">
                  <c:v>351.52645799999999</c:v>
                </c:pt>
                <c:pt idx="13">
                  <c:v>269.029628</c:v>
                </c:pt>
                <c:pt idx="14">
                  <c:v>259.56277899999998</c:v>
                </c:pt>
                <c:pt idx="15">
                  <c:v>258.21037200000001</c:v>
                </c:pt>
                <c:pt idx="16">
                  <c:v>259.74310000000003</c:v>
                </c:pt>
                <c:pt idx="17">
                  <c:v>261.27582799999999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53-4247-9D26-048576150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626303"/>
        <c:axId val="103612415"/>
      </c:lineChart>
      <c:catAx>
        <c:axId val="103626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612415"/>
        <c:crosses val="autoZero"/>
        <c:auto val="1"/>
        <c:lblAlgn val="ctr"/>
        <c:lblOffset val="100"/>
        <c:noMultiLvlLbl val="0"/>
      </c:catAx>
      <c:valAx>
        <c:axId val="10361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62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74284</xdr:colOff>
      <xdr:row>23</xdr:row>
      <xdr:rowOff>66137</xdr:rowOff>
    </xdr:from>
    <xdr:to>
      <xdr:col>26</xdr:col>
      <xdr:colOff>512793</xdr:colOff>
      <xdr:row>36</xdr:row>
      <xdr:rowOff>161507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506FCCE2-2447-87C1-2416-8D0CF8AA15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A3F8-03B7-684D-A744-AD19CD898930}">
  <dimension ref="A1:Y43"/>
  <sheetViews>
    <sheetView tabSelected="1" topLeftCell="I1" zoomScale="125" workbookViewId="0">
      <selection activeCell="V8" sqref="V8"/>
    </sheetView>
  </sheetViews>
  <sheetFormatPr baseColWidth="10" defaultRowHeight="16" x14ac:dyDescent="0.2"/>
  <cols>
    <col min="14" max="14" width="16.6640625" bestFit="1" customWidth="1"/>
    <col min="15" max="15" width="20.83203125" bestFit="1" customWidth="1"/>
    <col min="17" max="17" width="17.5" bestFit="1" customWidth="1"/>
  </cols>
  <sheetData>
    <row r="1" spans="1:21" ht="18" x14ac:dyDescent="0.2">
      <c r="A1" s="15" t="s">
        <v>0</v>
      </c>
      <c r="B1" s="16" t="s">
        <v>1</v>
      </c>
      <c r="C1" s="16" t="s">
        <v>2</v>
      </c>
      <c r="D1" s="17" t="e" vm="1">
        <v>#VALUE!</v>
      </c>
      <c r="E1" s="8" t="e" vm="2">
        <v>#VALUE!</v>
      </c>
      <c r="F1" s="8" t="e" vm="3">
        <v>#VALUE!</v>
      </c>
      <c r="G1" s="8" t="e" vm="4">
        <v>#VALUE!</v>
      </c>
      <c r="H1" s="8" t="e" vm="5">
        <v>#VALUE!</v>
      </c>
      <c r="I1" s="8" t="e" vm="6">
        <v>#VALUE!</v>
      </c>
      <c r="J1" s="8" t="e" vm="7">
        <v>#VALUE!</v>
      </c>
      <c r="K1" s="8" t="e" vm="8">
        <v>#VALUE!</v>
      </c>
      <c r="L1" s="18" t="e" vm="9">
        <v>#VALUE!</v>
      </c>
      <c r="N1" s="7" t="s">
        <v>13</v>
      </c>
      <c r="O1" s="8" t="s">
        <v>14</v>
      </c>
      <c r="P1" s="8" t="e" vm="10">
        <v>#VALUE!</v>
      </c>
      <c r="Q1" s="8" t="s">
        <v>16</v>
      </c>
      <c r="R1" s="35" t="s">
        <v>18</v>
      </c>
      <c r="S1" s="35"/>
      <c r="T1" s="35" t="s">
        <v>19</v>
      </c>
      <c r="U1" s="36"/>
    </row>
    <row r="2" spans="1:21" ht="19" x14ac:dyDescent="0.25">
      <c r="A2" s="19">
        <v>1</v>
      </c>
      <c r="B2" s="2">
        <v>126</v>
      </c>
      <c r="C2" s="20">
        <v>4</v>
      </c>
      <c r="D2" s="21">
        <f>INTERCEPT($B$2:$B$17,$C$2:$C$17) + SLOPE($B$2:$B$17,$C$2:$C$17)*C2</f>
        <v>235.21945211202203</v>
      </c>
      <c r="E2">
        <f>B2-D2</f>
        <v>-109.21945211202203</v>
      </c>
      <c r="F2">
        <f>E2^2</f>
        <v>11928.888719650273</v>
      </c>
      <c r="G2" s="3" t="s">
        <v>12</v>
      </c>
      <c r="H2" s="3" t="s">
        <v>12</v>
      </c>
      <c r="I2" s="3" t="s">
        <v>12</v>
      </c>
      <c r="J2">
        <f>(ABS(E2)/B2)*100</f>
        <v>86.682104850811143</v>
      </c>
      <c r="K2">
        <f>C2-$C$18</f>
        <v>-5.2937499999999993</v>
      </c>
      <c r="L2" s="11">
        <f>K2^2</f>
        <v>28.023789062499993</v>
      </c>
      <c r="N2" s="9">
        <v>0</v>
      </c>
      <c r="O2" s="1" t="str">
        <f>IF(SUM(N2:N17)&gt;(2*(16-2)/3-2*SQRT((16*16 - 29)/90)), "случайно", "не случайно")</f>
        <v>случайно</v>
      </c>
      <c r="P2" s="6">
        <f>H18/F18</f>
        <v>3633.9907438531459</v>
      </c>
      <c r="Q2" s="1">
        <f>(MAX(E2:E17) - MIN(E2:E17))/ STDEV(E2:E17)</f>
        <v>2.9926831474497559</v>
      </c>
      <c r="R2" s="37"/>
      <c r="S2" s="37"/>
      <c r="T2" s="37"/>
      <c r="U2" s="38"/>
    </row>
    <row r="3" spans="1:21" ht="19" x14ac:dyDescent="0.25">
      <c r="A3" s="19">
        <v>2</v>
      </c>
      <c r="B3" s="2">
        <v>137</v>
      </c>
      <c r="C3" s="20">
        <v>4.8</v>
      </c>
      <c r="D3" s="21">
        <f t="shared" ref="D3:D17" si="0">INTERCEPT($B$2:$B$17,$C$2:$C$17) + SLOPE($B$2:$B$17,$C$2:$C$17)*C3</f>
        <v>246.038708463452</v>
      </c>
      <c r="E3">
        <f t="shared" ref="E3:E17" si="1">B3-D3</f>
        <v>-109.038708463452</v>
      </c>
      <c r="F3">
        <f t="shared" ref="F3:F17" si="2">E3^2</f>
        <v>11889.439943377678</v>
      </c>
      <c r="G3">
        <f>F3-F2</f>
        <v>-39.448776272594841</v>
      </c>
      <c r="H3">
        <f>G3^2</f>
        <v>1556.2059494052417</v>
      </c>
      <c r="I3">
        <f>E3*E2</f>
        <v>11909.147997380725</v>
      </c>
      <c r="J3">
        <f t="shared" ref="J3:J17" si="3">(ABS(E3)/B3)*100</f>
        <v>79.590298148505113</v>
      </c>
      <c r="K3">
        <f t="shared" ref="K3:K17" si="4">C3-$C$18</f>
        <v>-4.4937499999999995</v>
      </c>
      <c r="L3" s="11">
        <f t="shared" ref="L3:L17" si="5">K3^2</f>
        <v>20.193789062499995</v>
      </c>
      <c r="N3" s="10">
        <f>IF(OR(AND(E3&gt;E2,E3&gt;E4),AND(E3&lt;E2,E3&lt;E4)),1,0)</f>
        <v>0</v>
      </c>
      <c r="P3" s="42" t="s">
        <v>15</v>
      </c>
      <c r="Q3" s="43" t="s">
        <v>17</v>
      </c>
      <c r="R3">
        <f>ABS(E2)/B2</f>
        <v>0.86682104850811137</v>
      </c>
      <c r="S3" s="1">
        <f>1/16 * (SUM(R3:R17))*100</f>
        <v>26.689013970634996</v>
      </c>
      <c r="T3" s="39">
        <f>SLOPE($B$2:$B$17,$C$2:$C$17) *C18/B18</f>
        <v>0.40966169776370848</v>
      </c>
      <c r="U3" s="40"/>
    </row>
    <row r="4" spans="1:21" ht="19" x14ac:dyDescent="0.25">
      <c r="A4" s="19">
        <v>3</v>
      </c>
      <c r="B4" s="2">
        <v>148</v>
      </c>
      <c r="C4" s="20">
        <v>3.8</v>
      </c>
      <c r="D4" s="21">
        <f t="shared" si="0"/>
        <v>232.51463802416453</v>
      </c>
      <c r="E4">
        <f t="shared" si="1"/>
        <v>-84.514638024164526</v>
      </c>
      <c r="F4">
        <f t="shared" si="2"/>
        <v>7142.7240403555561</v>
      </c>
      <c r="G4">
        <f t="shared" ref="G4:G17" si="6">F4-F3</f>
        <v>-4746.7159030221219</v>
      </c>
      <c r="H4">
        <f t="shared" ref="H4:H17" si="7">G4^2</f>
        <v>22531311.864003118</v>
      </c>
      <c r="I4">
        <f t="shared" ref="I4:I17" si="8">E4*E3</f>
        <v>9215.3669764110509</v>
      </c>
      <c r="J4">
        <f t="shared" si="3"/>
        <v>57.104485151462512</v>
      </c>
      <c r="K4">
        <f t="shared" si="4"/>
        <v>-5.4937499999999995</v>
      </c>
      <c r="L4" s="11">
        <f t="shared" si="5"/>
        <v>30.181289062499996</v>
      </c>
      <c r="N4" s="10">
        <f t="shared" ref="N4:N16" si="9">IF(OR(AND(E4&gt;E3,E4&gt;E5),AND(E4&lt;E3,E4&lt;E5)),1,0)</f>
        <v>1</v>
      </c>
      <c r="P4" s="43"/>
      <c r="Q4" s="43"/>
      <c r="R4">
        <f t="shared" ref="R4:R17" si="10">ABS(E3)/B3</f>
        <v>0.79590298148505112</v>
      </c>
      <c r="S4" s="48" t="s">
        <v>27</v>
      </c>
      <c r="U4" s="11"/>
    </row>
    <row r="5" spans="1:21" ht="19" x14ac:dyDescent="0.25">
      <c r="A5" s="19">
        <v>4</v>
      </c>
      <c r="B5" s="2">
        <v>191</v>
      </c>
      <c r="C5" s="20">
        <v>8.6999999999999993</v>
      </c>
      <c r="D5" s="21">
        <f t="shared" si="0"/>
        <v>298.78258317667309</v>
      </c>
      <c r="E5">
        <f t="shared" si="1"/>
        <v>-107.78258317667309</v>
      </c>
      <c r="F5">
        <f t="shared" si="2"/>
        <v>11617.085236236451</v>
      </c>
      <c r="G5">
        <f t="shared" si="6"/>
        <v>4474.3611958808951</v>
      </c>
      <c r="H5">
        <f t="shared" si="7"/>
        <v>20019908.111204714</v>
      </c>
      <c r="I5">
        <f t="shared" si="8"/>
        <v>9109.2060024859311</v>
      </c>
      <c r="J5">
        <f t="shared" si="3"/>
        <v>56.430671820247689</v>
      </c>
      <c r="K5">
        <f t="shared" si="4"/>
        <v>-0.59375</v>
      </c>
      <c r="L5" s="11">
        <f t="shared" si="5"/>
        <v>0.3525390625</v>
      </c>
      <c r="N5" s="10">
        <f t="shared" si="9"/>
        <v>1</v>
      </c>
      <c r="P5" s="43"/>
      <c r="Q5" s="43"/>
      <c r="R5">
        <f t="shared" si="10"/>
        <v>0.57104485151462514</v>
      </c>
      <c r="S5" s="48"/>
      <c r="U5" s="11"/>
    </row>
    <row r="6" spans="1:21" ht="19" x14ac:dyDescent="0.25">
      <c r="A6" s="19">
        <v>5</v>
      </c>
      <c r="B6" s="2">
        <v>274</v>
      </c>
      <c r="C6" s="20">
        <v>8.1999999999999993</v>
      </c>
      <c r="D6" s="21">
        <f t="shared" si="0"/>
        <v>292.02054795702935</v>
      </c>
      <c r="E6">
        <f t="shared" si="1"/>
        <v>-18.020547957029351</v>
      </c>
      <c r="F6">
        <f t="shared" si="2"/>
        <v>324.74014867159468</v>
      </c>
      <c r="G6">
        <f t="shared" si="6"/>
        <v>-11292.345087564856</v>
      </c>
      <c r="H6">
        <f t="shared" si="7"/>
        <v>127517057.57665013</v>
      </c>
      <c r="I6">
        <f t="shared" si="8"/>
        <v>1942.3012090677423</v>
      </c>
      <c r="J6">
        <f t="shared" si="3"/>
        <v>6.5768423200837045</v>
      </c>
      <c r="K6">
        <f t="shared" si="4"/>
        <v>-1.09375</v>
      </c>
      <c r="L6" s="11">
        <f t="shared" si="5"/>
        <v>1.1962890625</v>
      </c>
      <c r="N6" s="10">
        <f t="shared" si="9"/>
        <v>0</v>
      </c>
      <c r="P6" s="43"/>
      <c r="Q6" s="43"/>
      <c r="R6">
        <f t="shared" si="10"/>
        <v>0.56430671820247691</v>
      </c>
      <c r="S6" s="48"/>
      <c r="U6" s="11"/>
    </row>
    <row r="7" spans="1:21" ht="19" x14ac:dyDescent="0.25">
      <c r="A7" s="19">
        <v>6</v>
      </c>
      <c r="B7" s="2">
        <v>370</v>
      </c>
      <c r="C7" s="20">
        <v>9.6999999999999993</v>
      </c>
      <c r="D7" s="21">
        <f t="shared" si="0"/>
        <v>312.3066536159605</v>
      </c>
      <c r="E7">
        <f t="shared" si="1"/>
        <v>57.693346384039501</v>
      </c>
      <c r="F7">
        <f t="shared" si="2"/>
        <v>3328.5222169887638</v>
      </c>
      <c r="G7">
        <f t="shared" si="6"/>
        <v>3003.782068317169</v>
      </c>
      <c r="H7">
        <f t="shared" si="7"/>
        <v>9022706.7139437702</v>
      </c>
      <c r="I7">
        <f t="shared" si="8"/>
        <v>-1039.6657153150898</v>
      </c>
      <c r="J7">
        <f t="shared" si="3"/>
        <v>15.592796320010677</v>
      </c>
      <c r="K7">
        <f t="shared" si="4"/>
        <v>0.40625</v>
      </c>
      <c r="L7" s="11">
        <f t="shared" si="5"/>
        <v>0.1650390625</v>
      </c>
      <c r="N7" s="10">
        <f t="shared" si="9"/>
        <v>1</v>
      </c>
      <c r="P7" s="43"/>
      <c r="Q7" s="43"/>
      <c r="R7">
        <f t="shared" si="10"/>
        <v>6.5768423200837048E-2</v>
      </c>
      <c r="S7" s="48"/>
      <c r="U7" s="11"/>
    </row>
    <row r="8" spans="1:21" ht="19" x14ac:dyDescent="0.25">
      <c r="A8" s="19">
        <v>7</v>
      </c>
      <c r="B8" s="2">
        <v>432</v>
      </c>
      <c r="C8" s="20">
        <v>14.7</v>
      </c>
      <c r="D8" s="21">
        <f t="shared" si="0"/>
        <v>379.92700581239785</v>
      </c>
      <c r="E8">
        <f t="shared" si="1"/>
        <v>52.072994187602148</v>
      </c>
      <c r="F8">
        <f t="shared" si="2"/>
        <v>2711.5967236620472</v>
      </c>
      <c r="G8">
        <f t="shared" si="6"/>
        <v>-616.92549332671661</v>
      </c>
      <c r="H8">
        <f t="shared" si="7"/>
        <v>380597.06431641267</v>
      </c>
      <c r="I8">
        <f t="shared" si="8"/>
        <v>3004.2652909194062</v>
      </c>
      <c r="J8">
        <f t="shared" si="3"/>
        <v>12.053933839722719</v>
      </c>
      <c r="K8">
        <f t="shared" si="4"/>
        <v>5.40625</v>
      </c>
      <c r="L8" s="11">
        <f t="shared" si="5"/>
        <v>29.2275390625</v>
      </c>
      <c r="N8" s="10">
        <f t="shared" si="9"/>
        <v>0</v>
      </c>
      <c r="P8" s="43"/>
      <c r="Q8" s="43"/>
      <c r="R8">
        <f t="shared" si="10"/>
        <v>0.15592796320010677</v>
      </c>
      <c r="S8" s="48"/>
      <c r="U8" s="11"/>
    </row>
    <row r="9" spans="1:21" ht="19" x14ac:dyDescent="0.25">
      <c r="A9" s="19">
        <v>8</v>
      </c>
      <c r="B9" s="2">
        <v>445</v>
      </c>
      <c r="C9" s="20">
        <v>18.7</v>
      </c>
      <c r="D9" s="21">
        <f t="shared" si="0"/>
        <v>434.02328756954762</v>
      </c>
      <c r="E9">
        <f t="shared" si="1"/>
        <v>10.97671243045238</v>
      </c>
      <c r="F9">
        <f t="shared" si="2"/>
        <v>120.48821578084781</v>
      </c>
      <c r="G9">
        <f t="shared" si="6"/>
        <v>-2591.1085078811993</v>
      </c>
      <c r="H9">
        <f t="shared" si="7"/>
        <v>6713843.2996143354</v>
      </c>
      <c r="I9">
        <f t="shared" si="8"/>
        <v>571.59028258992703</v>
      </c>
      <c r="J9">
        <f t="shared" si="3"/>
        <v>2.466676950663456</v>
      </c>
      <c r="K9">
        <f t="shared" si="4"/>
        <v>9.40625</v>
      </c>
      <c r="L9" s="11">
        <f t="shared" si="5"/>
        <v>88.4775390625</v>
      </c>
      <c r="N9" s="10">
        <f t="shared" si="9"/>
        <v>0</v>
      </c>
      <c r="P9" s="43"/>
      <c r="Q9" s="43"/>
      <c r="R9">
        <f t="shared" si="10"/>
        <v>0.12053933839722719</v>
      </c>
      <c r="S9" s="48"/>
      <c r="U9" s="11"/>
    </row>
    <row r="10" spans="1:21" ht="19" x14ac:dyDescent="0.25">
      <c r="A10" s="19">
        <v>9</v>
      </c>
      <c r="B10" s="2">
        <v>367</v>
      </c>
      <c r="C10" s="20">
        <v>19.8</v>
      </c>
      <c r="D10" s="21">
        <f t="shared" si="0"/>
        <v>448.89976505276388</v>
      </c>
      <c r="E10">
        <f t="shared" si="1"/>
        <v>-81.899765052763883</v>
      </c>
      <c r="F10">
        <f t="shared" si="2"/>
        <v>6707.571515697924</v>
      </c>
      <c r="G10">
        <f t="shared" si="6"/>
        <v>6587.0832999170761</v>
      </c>
      <c r="H10">
        <f t="shared" si="7"/>
        <v>43389666.400046438</v>
      </c>
      <c r="I10">
        <f t="shared" si="8"/>
        <v>-898.99016910580281</v>
      </c>
      <c r="J10">
        <f t="shared" si="3"/>
        <v>22.316012275957462</v>
      </c>
      <c r="K10">
        <f t="shared" si="4"/>
        <v>10.506250000000001</v>
      </c>
      <c r="L10" s="11">
        <f t="shared" si="5"/>
        <v>110.38128906250003</v>
      </c>
      <c r="N10" s="10">
        <f t="shared" si="9"/>
        <v>1</v>
      </c>
      <c r="P10" s="43"/>
      <c r="Q10" s="43"/>
      <c r="R10">
        <f t="shared" si="10"/>
        <v>2.4666769506634562E-2</v>
      </c>
      <c r="S10" s="48"/>
      <c r="U10" s="11"/>
    </row>
    <row r="11" spans="1:21" ht="19" x14ac:dyDescent="0.25">
      <c r="A11" s="19">
        <v>10</v>
      </c>
      <c r="B11" s="2">
        <v>367</v>
      </c>
      <c r="C11" s="20">
        <v>10.6</v>
      </c>
      <c r="D11" s="21">
        <f t="shared" si="0"/>
        <v>324.47831701131929</v>
      </c>
      <c r="E11">
        <f t="shared" si="1"/>
        <v>42.521682988680709</v>
      </c>
      <c r="F11">
        <f t="shared" si="2"/>
        <v>1808.0935241898585</v>
      </c>
      <c r="G11">
        <f t="shared" si="6"/>
        <v>-4899.4779915080653</v>
      </c>
      <c r="H11">
        <f t="shared" si="7"/>
        <v>24004884.589271907</v>
      </c>
      <c r="I11">
        <f t="shared" si="8"/>
        <v>-3482.5158464210567</v>
      </c>
      <c r="J11">
        <f t="shared" si="3"/>
        <v>11.586289642692291</v>
      </c>
      <c r="K11">
        <f t="shared" si="4"/>
        <v>1.3062500000000004</v>
      </c>
      <c r="L11" s="11">
        <f t="shared" si="5"/>
        <v>1.7062890625000009</v>
      </c>
      <c r="N11" s="10">
        <f t="shared" si="9"/>
        <v>1</v>
      </c>
      <c r="P11" s="43"/>
      <c r="Q11" s="43"/>
      <c r="R11">
        <f t="shared" si="10"/>
        <v>0.22316012275957461</v>
      </c>
      <c r="S11" s="48"/>
      <c r="U11" s="11"/>
    </row>
    <row r="12" spans="1:21" ht="19" x14ac:dyDescent="0.25">
      <c r="A12" s="19">
        <v>11</v>
      </c>
      <c r="B12" s="2">
        <v>321</v>
      </c>
      <c r="C12" s="20">
        <v>8.6</v>
      </c>
      <c r="D12" s="21">
        <f t="shared" si="0"/>
        <v>297.43017613274435</v>
      </c>
      <c r="E12">
        <f t="shared" si="1"/>
        <v>23.56982386725565</v>
      </c>
      <c r="F12">
        <f t="shared" si="2"/>
        <v>555.53659713345405</v>
      </c>
      <c r="G12">
        <f t="shared" si="6"/>
        <v>-1252.5569270564044</v>
      </c>
      <c r="H12">
        <f t="shared" si="7"/>
        <v>1568898.855516983</v>
      </c>
      <c r="I12">
        <f t="shared" si="8"/>
        <v>1002.2285785824852</v>
      </c>
      <c r="J12">
        <f t="shared" si="3"/>
        <v>7.3426242577120409</v>
      </c>
      <c r="K12">
        <f t="shared" si="4"/>
        <v>-0.69374999999999964</v>
      </c>
      <c r="L12" s="11">
        <f t="shared" si="5"/>
        <v>0.48128906249999953</v>
      </c>
      <c r="N12" s="10">
        <f t="shared" si="9"/>
        <v>1</v>
      </c>
      <c r="P12" s="43"/>
      <c r="Q12" s="43"/>
      <c r="R12">
        <f t="shared" si="10"/>
        <v>0.11586289642692291</v>
      </c>
      <c r="S12" s="48"/>
      <c r="U12" s="11"/>
    </row>
    <row r="13" spans="1:21" ht="19" x14ac:dyDescent="0.25">
      <c r="A13" s="19">
        <v>12</v>
      </c>
      <c r="B13" s="2">
        <v>307</v>
      </c>
      <c r="C13" s="20">
        <v>6.5</v>
      </c>
      <c r="D13" s="21">
        <f t="shared" si="0"/>
        <v>269.02962821024067</v>
      </c>
      <c r="E13">
        <f t="shared" si="1"/>
        <v>37.970371789759326</v>
      </c>
      <c r="F13">
        <f t="shared" si="2"/>
        <v>1441.7491338525508</v>
      </c>
      <c r="G13">
        <f t="shared" si="6"/>
        <v>886.21253671909676</v>
      </c>
      <c r="H13">
        <f t="shared" si="7"/>
        <v>785372.66023809637</v>
      </c>
      <c r="I13">
        <f t="shared" si="8"/>
        <v>894.95497525884002</v>
      </c>
      <c r="J13">
        <f t="shared" si="3"/>
        <v>12.368199280051897</v>
      </c>
      <c r="K13">
        <f t="shared" si="4"/>
        <v>-2.7937499999999993</v>
      </c>
      <c r="L13" s="11">
        <f t="shared" si="5"/>
        <v>7.8050390624999961</v>
      </c>
      <c r="N13" s="10">
        <f t="shared" si="9"/>
        <v>1</v>
      </c>
      <c r="P13" s="43"/>
      <c r="Q13" s="43"/>
      <c r="R13">
        <f t="shared" si="10"/>
        <v>7.342624257712041E-2</v>
      </c>
      <c r="S13" s="48"/>
      <c r="U13" s="11"/>
    </row>
    <row r="14" spans="1:21" ht="19" x14ac:dyDescent="0.25">
      <c r="A14" s="19">
        <v>13</v>
      </c>
      <c r="B14" s="2">
        <v>331</v>
      </c>
      <c r="C14" s="20">
        <v>12.6</v>
      </c>
      <c r="D14" s="21">
        <f t="shared" si="0"/>
        <v>351.52645788989417</v>
      </c>
      <c r="E14">
        <f t="shared" si="1"/>
        <v>-20.526457889894175</v>
      </c>
      <c r="F14">
        <f t="shared" si="2"/>
        <v>421.33547350559883</v>
      </c>
      <c r="G14">
        <f t="shared" si="6"/>
        <v>-1020.4136603469519</v>
      </c>
      <c r="H14">
        <f t="shared" si="7"/>
        <v>1041244.0382226646</v>
      </c>
      <c r="I14">
        <f t="shared" si="8"/>
        <v>-779.39723760612048</v>
      </c>
      <c r="J14">
        <f t="shared" si="3"/>
        <v>6.2013467945299618</v>
      </c>
      <c r="K14">
        <f t="shared" si="4"/>
        <v>3.3062500000000004</v>
      </c>
      <c r="L14" s="11">
        <f t="shared" si="5"/>
        <v>10.931289062500003</v>
      </c>
      <c r="N14" s="10">
        <f t="shared" si="9"/>
        <v>1</v>
      </c>
      <c r="P14" s="43"/>
      <c r="Q14" s="43"/>
      <c r="R14">
        <f t="shared" si="10"/>
        <v>0.12368199280051898</v>
      </c>
      <c r="S14" s="48"/>
      <c r="U14" s="11"/>
    </row>
    <row r="15" spans="1:21" ht="19" x14ac:dyDescent="0.25">
      <c r="A15" s="19">
        <v>14</v>
      </c>
      <c r="B15" s="2">
        <v>345</v>
      </c>
      <c r="C15" s="20">
        <v>6.5</v>
      </c>
      <c r="D15" s="21">
        <f t="shared" si="0"/>
        <v>269.02962821024067</v>
      </c>
      <c r="E15">
        <f t="shared" si="1"/>
        <v>75.970371789759326</v>
      </c>
      <c r="F15">
        <f t="shared" si="2"/>
        <v>5771.4973898742601</v>
      </c>
      <c r="G15">
        <f t="shared" si="6"/>
        <v>5350.161916368661</v>
      </c>
      <c r="H15">
        <f t="shared" si="7"/>
        <v>28624232.531361584</v>
      </c>
      <c r="I15">
        <f t="shared" si="8"/>
        <v>-1559.4026374220991</v>
      </c>
      <c r="J15">
        <f t="shared" si="3"/>
        <v>22.020397620220095</v>
      </c>
      <c r="K15">
        <f t="shared" si="4"/>
        <v>-2.7937499999999993</v>
      </c>
      <c r="L15" s="11">
        <f t="shared" si="5"/>
        <v>7.8050390624999961</v>
      </c>
      <c r="N15" s="10">
        <f t="shared" si="9"/>
        <v>0</v>
      </c>
      <c r="P15" s="43"/>
      <c r="Q15" s="43"/>
      <c r="R15">
        <f t="shared" si="10"/>
        <v>6.2013467945299619E-2</v>
      </c>
      <c r="S15" s="48"/>
      <c r="U15" s="11"/>
    </row>
    <row r="16" spans="1:21" ht="19" x14ac:dyDescent="0.25">
      <c r="A16" s="19">
        <v>15</v>
      </c>
      <c r="B16" s="2">
        <v>364</v>
      </c>
      <c r="C16" s="20">
        <v>5.8</v>
      </c>
      <c r="D16" s="21">
        <f t="shared" si="0"/>
        <v>259.56277890273947</v>
      </c>
      <c r="E16">
        <f t="shared" si="1"/>
        <v>104.43722109726053</v>
      </c>
      <c r="F16">
        <f t="shared" si="2"/>
        <v>10907.133150518081</v>
      </c>
      <c r="G16">
        <f t="shared" si="6"/>
        <v>5135.6357606438205</v>
      </c>
      <c r="H16">
        <f t="shared" si="7"/>
        <v>26374754.666003633</v>
      </c>
      <c r="I16">
        <f t="shared" si="8"/>
        <v>7934.1345154481787</v>
      </c>
      <c r="J16">
        <f t="shared" si="3"/>
        <v>28.691544257489159</v>
      </c>
      <c r="K16">
        <f t="shared" si="4"/>
        <v>-3.4937499999999995</v>
      </c>
      <c r="L16" s="11">
        <f t="shared" si="5"/>
        <v>12.206289062499996</v>
      </c>
      <c r="N16" s="10">
        <f t="shared" si="9"/>
        <v>0</v>
      </c>
      <c r="P16" s="43"/>
      <c r="Q16" s="43"/>
      <c r="R16">
        <f t="shared" si="10"/>
        <v>0.22020397620220095</v>
      </c>
      <c r="S16" s="48"/>
      <c r="U16" s="11"/>
    </row>
    <row r="17" spans="1:25" ht="19" x14ac:dyDescent="0.25">
      <c r="A17" s="22">
        <v>16</v>
      </c>
      <c r="B17" s="23">
        <v>384</v>
      </c>
      <c r="C17" s="24">
        <v>5.7</v>
      </c>
      <c r="D17" s="25">
        <f t="shared" si="0"/>
        <v>258.21037185881073</v>
      </c>
      <c r="E17" s="13">
        <f t="shared" si="1"/>
        <v>125.78962814118927</v>
      </c>
      <c r="F17" s="13">
        <f t="shared" si="2"/>
        <v>15823.030547898676</v>
      </c>
      <c r="G17" s="13">
        <f t="shared" si="6"/>
        <v>4915.8973973805951</v>
      </c>
      <c r="H17" s="13">
        <f t="shared" si="7"/>
        <v>24166047.221573308</v>
      </c>
      <c r="I17" s="13">
        <f t="shared" si="8"/>
        <v>13137.119205923569</v>
      </c>
      <c r="J17" s="13">
        <f t="shared" si="3"/>
        <v>32.757715661768039</v>
      </c>
      <c r="K17" s="13">
        <f t="shared" si="4"/>
        <v>-3.5937499999999991</v>
      </c>
      <c r="L17" s="14">
        <f t="shared" si="5"/>
        <v>12.915039062499993</v>
      </c>
      <c r="N17" s="12">
        <v>0</v>
      </c>
      <c r="O17" s="13"/>
      <c r="P17" s="44"/>
      <c r="Q17" s="44"/>
      <c r="R17" s="13">
        <f t="shared" si="10"/>
        <v>0.2869154425748916</v>
      </c>
      <c r="S17" s="50"/>
      <c r="T17" s="13"/>
      <c r="U17" s="14"/>
    </row>
    <row r="18" spans="1:25" x14ac:dyDescent="0.2">
      <c r="A18" s="2"/>
      <c r="B18" s="4">
        <f>AVERAGE(B2:B17)</f>
        <v>306.8125</v>
      </c>
      <c r="C18" s="1">
        <f>AVERAGE(C2:C17)</f>
        <v>9.2937499999999993</v>
      </c>
      <c r="F18" s="1">
        <f>SUM(F2:F17)</f>
        <v>92499.432577393614</v>
      </c>
      <c r="H18" s="1">
        <f>SUM(H3:H17)</f>
        <v>336142081.79791653</v>
      </c>
    </row>
    <row r="19" spans="1:25" ht="18" x14ac:dyDescent="0.25">
      <c r="A19" s="39" t="s">
        <v>3</v>
      </c>
      <c r="B19" s="39"/>
      <c r="C19" s="39"/>
      <c r="D19" s="39"/>
      <c r="E19" s="43" t="s">
        <v>6</v>
      </c>
      <c r="F19" s="43"/>
      <c r="G19" s="43" t="s">
        <v>7</v>
      </c>
      <c r="H19" s="43"/>
      <c r="I19" s="43" t="e" vm="11">
        <v>#VALUE!</v>
      </c>
      <c r="J19" s="43"/>
      <c r="K19" s="41" t="e" vm="12">
        <v>#VALUE!</v>
      </c>
      <c r="L19" s="41"/>
      <c r="M19" s="43" t="s">
        <v>9</v>
      </c>
      <c r="N19" s="43"/>
      <c r="O19" s="43" t="s">
        <v>10</v>
      </c>
      <c r="Q19" t="s">
        <v>20</v>
      </c>
      <c r="R19" t="s">
        <v>21</v>
      </c>
      <c r="S19" t="s">
        <v>22</v>
      </c>
      <c r="T19" s="41" t="s">
        <v>23</v>
      </c>
      <c r="U19" s="41"/>
      <c r="V19" s="41" t="s">
        <v>24</v>
      </c>
      <c r="W19" s="41"/>
    </row>
    <row r="20" spans="1:25" ht="18" x14ac:dyDescent="0.25">
      <c r="A20" s="45" t="s">
        <v>4</v>
      </c>
      <c r="B20" s="45"/>
      <c r="C20" s="46" t="s">
        <v>5</v>
      </c>
      <c r="D20" s="46"/>
      <c r="E20" s="43"/>
      <c r="F20" s="43"/>
      <c r="G20" s="43"/>
      <c r="H20" s="43"/>
      <c r="I20" s="43"/>
      <c r="J20" s="43"/>
      <c r="K20" s="41"/>
      <c r="L20" s="41"/>
      <c r="M20" s="43"/>
      <c r="N20" s="43"/>
      <c r="O20" s="43"/>
      <c r="Q20">
        <f>(C17-C2)/15</f>
        <v>0.11333333333333334</v>
      </c>
      <c r="R20">
        <f>C17+Q20</f>
        <v>5.8133333333333335</v>
      </c>
      <c r="S20">
        <f>R20+Q20</f>
        <v>5.9266666666666667</v>
      </c>
      <c r="T20" t="e" vm="13">
        <v>#VALUE!</v>
      </c>
      <c r="U20">
        <f>INTERCEPT($B$2:$B$17,$C$2:$C$17) + SLOPE($B$2:$B$17,$C$2:$C$17)*R20</f>
        <v>259.74309984192996</v>
      </c>
      <c r="V20" t="s">
        <v>25</v>
      </c>
      <c r="W20">
        <f>U20+Y20</f>
        <v>265.0954827534436</v>
      </c>
      <c r="X20">
        <f>U20-Y20</f>
        <v>254.39071693041632</v>
      </c>
      <c r="Y20">
        <f>Q2*1.7084 *SQRT(1+1/16 + ((R20 - C18)^2)/M38)</f>
        <v>5.3523829115136561</v>
      </c>
    </row>
    <row r="21" spans="1:25" ht="18" x14ac:dyDescent="0.25">
      <c r="A21" s="45"/>
      <c r="B21" s="45"/>
      <c r="C21" s="46"/>
      <c r="D21" s="46"/>
      <c r="E21" s="43"/>
      <c r="F21" s="43"/>
      <c r="G21" s="43"/>
      <c r="H21" s="43"/>
      <c r="I21" s="43"/>
      <c r="J21" s="43"/>
      <c r="K21" s="41"/>
      <c r="L21" s="41"/>
      <c r="M21" s="43"/>
      <c r="N21" s="43"/>
      <c r="O21" s="43"/>
      <c r="T21" t="e" vm="14">
        <v>#VALUE!</v>
      </c>
      <c r="U21">
        <f>INTERCEPT($B$2:$B$17,$C$2:$C$17) + SLOPE($B$2:$B$17,$C$2:$C$17)*S20</f>
        <v>261.27582782504919</v>
      </c>
      <c r="V21" t="s">
        <v>26</v>
      </c>
      <c r="W21">
        <f>U21+Y21</f>
        <v>266.62297403484058</v>
      </c>
      <c r="X21">
        <f>U21-Y21</f>
        <v>255.9286816152578</v>
      </c>
      <c r="Y21">
        <f>Q2*1.7084 *SQRT(1+1/16 + ((S20 - C18)^2)/M38)</f>
        <v>5.3471462097913891</v>
      </c>
    </row>
    <row r="22" spans="1:25" x14ac:dyDescent="0.2">
      <c r="A22" s="41">
        <v>4</v>
      </c>
      <c r="B22" s="41"/>
      <c r="C22" s="41">
        <v>15</v>
      </c>
      <c r="D22" s="41"/>
      <c r="E22">
        <f>A22-$A$38</f>
        <v>-5.2937499999999993</v>
      </c>
      <c r="F22">
        <f>C22-$C$38</f>
        <v>-0.65000000000000036</v>
      </c>
      <c r="G22" s="41">
        <f>B2-$B$18</f>
        <v>-180.8125</v>
      </c>
      <c r="H22" s="41"/>
      <c r="I22">
        <f>E22*G22</f>
        <v>957.17617187499991</v>
      </c>
      <c r="J22">
        <f>F22*G22</f>
        <v>117.52812500000006</v>
      </c>
      <c r="K22" s="48" t="s">
        <v>4</v>
      </c>
      <c r="L22" s="48" t="s">
        <v>5</v>
      </c>
      <c r="M22">
        <f>E22^2</f>
        <v>28.023789062499993</v>
      </c>
      <c r="N22">
        <f>F22^2</f>
        <v>0.42250000000000049</v>
      </c>
      <c r="O22">
        <f>G22^2</f>
        <v>32693.16015625</v>
      </c>
    </row>
    <row r="23" spans="1:25" x14ac:dyDescent="0.2">
      <c r="A23" s="41">
        <v>4.8</v>
      </c>
      <c r="B23" s="41"/>
      <c r="C23" s="41">
        <v>14.8</v>
      </c>
      <c r="D23" s="41"/>
      <c r="E23">
        <f t="shared" ref="E23:E37" si="11">A23-$A$38</f>
        <v>-4.4937499999999995</v>
      </c>
      <c r="F23">
        <f t="shared" ref="F23:F37" si="12">C23-$C$38</f>
        <v>-0.84999999999999964</v>
      </c>
      <c r="G23" s="41">
        <f t="shared" ref="G23:G36" si="13">B3-$B$18</f>
        <v>-169.8125</v>
      </c>
      <c r="H23" s="41"/>
      <c r="I23">
        <f t="shared" ref="I23:I37" si="14">E23*G23</f>
        <v>763.09492187499995</v>
      </c>
      <c r="J23">
        <f t="shared" ref="J23:J37" si="15">F23*G23</f>
        <v>144.34062499999993</v>
      </c>
      <c r="K23" s="48"/>
      <c r="L23" s="48"/>
      <c r="M23">
        <f t="shared" ref="M23:M37" si="16">E23^2</f>
        <v>20.193789062499995</v>
      </c>
      <c r="N23">
        <f t="shared" ref="N23:N37" si="17">F23^2</f>
        <v>0.72249999999999936</v>
      </c>
      <c r="O23">
        <f t="shared" ref="O23:O37" si="18">G23^2</f>
        <v>28836.28515625</v>
      </c>
    </row>
    <row r="24" spans="1:25" x14ac:dyDescent="0.2">
      <c r="A24" s="41">
        <v>3.8</v>
      </c>
      <c r="B24" s="41"/>
      <c r="C24" s="41">
        <v>15.2</v>
      </c>
      <c r="D24" s="41"/>
      <c r="E24">
        <f t="shared" si="11"/>
        <v>-5.4937499999999995</v>
      </c>
      <c r="F24">
        <f t="shared" si="12"/>
        <v>-0.45000000000000107</v>
      </c>
      <c r="G24" s="41">
        <f t="shared" si="13"/>
        <v>-158.8125</v>
      </c>
      <c r="H24" s="41"/>
      <c r="I24">
        <f t="shared" si="14"/>
        <v>872.47617187499986</v>
      </c>
      <c r="J24">
        <f t="shared" si="15"/>
        <v>71.465625000000173</v>
      </c>
      <c r="K24" s="48"/>
      <c r="L24" s="48"/>
      <c r="M24">
        <f t="shared" si="16"/>
        <v>30.181289062499996</v>
      </c>
      <c r="N24">
        <f t="shared" si="17"/>
        <v>0.20250000000000096</v>
      </c>
      <c r="O24">
        <f t="shared" si="18"/>
        <v>25221.41015625</v>
      </c>
    </row>
    <row r="25" spans="1:25" x14ac:dyDescent="0.2">
      <c r="A25" s="41">
        <v>8.6999999999999993</v>
      </c>
      <c r="B25" s="41"/>
      <c r="C25" s="41">
        <v>15.5</v>
      </c>
      <c r="D25" s="41"/>
      <c r="E25">
        <f t="shared" si="11"/>
        <v>-0.59375</v>
      </c>
      <c r="F25">
        <f t="shared" si="12"/>
        <v>-0.15000000000000036</v>
      </c>
      <c r="G25" s="41">
        <f t="shared" si="13"/>
        <v>-115.8125</v>
      </c>
      <c r="H25" s="41"/>
      <c r="I25">
        <f t="shared" si="14"/>
        <v>68.763671875</v>
      </c>
      <c r="J25">
        <f t="shared" si="15"/>
        <v>17.371875000000042</v>
      </c>
      <c r="K25" s="48"/>
      <c r="L25" s="48"/>
      <c r="M25">
        <f t="shared" si="16"/>
        <v>0.3525390625</v>
      </c>
      <c r="N25">
        <f t="shared" si="17"/>
        <v>2.2500000000000107E-2</v>
      </c>
      <c r="O25">
        <f t="shared" si="18"/>
        <v>13412.53515625</v>
      </c>
      <c r="R25" s="28">
        <v>1</v>
      </c>
      <c r="S25" s="29">
        <v>126</v>
      </c>
      <c r="T25" s="30">
        <v>235.21945199999999</v>
      </c>
    </row>
    <row r="26" spans="1:25" x14ac:dyDescent="0.2">
      <c r="A26" s="41">
        <v>8.1999999999999993</v>
      </c>
      <c r="B26" s="41"/>
      <c r="C26" s="41">
        <v>15.5</v>
      </c>
      <c r="D26" s="41"/>
      <c r="E26">
        <f t="shared" si="11"/>
        <v>-1.09375</v>
      </c>
      <c r="F26">
        <f t="shared" si="12"/>
        <v>-0.15000000000000036</v>
      </c>
      <c r="G26" s="41">
        <f t="shared" si="13"/>
        <v>-32.8125</v>
      </c>
      <c r="H26" s="41"/>
      <c r="I26">
        <f t="shared" si="14"/>
        <v>35.888671875</v>
      </c>
      <c r="J26">
        <f t="shared" si="15"/>
        <v>4.9218750000000115</v>
      </c>
      <c r="K26" s="48"/>
      <c r="L26" s="48"/>
      <c r="M26">
        <f t="shared" si="16"/>
        <v>1.1962890625</v>
      </c>
      <c r="N26">
        <f t="shared" si="17"/>
        <v>2.2500000000000107E-2</v>
      </c>
      <c r="O26">
        <f t="shared" si="18"/>
        <v>1076.66015625</v>
      </c>
      <c r="R26" s="26">
        <v>2</v>
      </c>
      <c r="S26" s="20">
        <v>137</v>
      </c>
      <c r="T26" s="31">
        <v>246.03870800000001</v>
      </c>
    </row>
    <row r="27" spans="1:25" x14ac:dyDescent="0.2">
      <c r="A27" s="41">
        <v>9.6999999999999993</v>
      </c>
      <c r="B27" s="41"/>
      <c r="C27" s="41">
        <v>16</v>
      </c>
      <c r="D27" s="41"/>
      <c r="E27">
        <f t="shared" si="11"/>
        <v>0.40625</v>
      </c>
      <c r="F27">
        <f t="shared" si="12"/>
        <v>0.34999999999999964</v>
      </c>
      <c r="G27" s="41">
        <f t="shared" si="13"/>
        <v>63.1875</v>
      </c>
      <c r="H27" s="41"/>
      <c r="I27">
        <f t="shared" si="14"/>
        <v>25.669921875</v>
      </c>
      <c r="J27">
        <f t="shared" si="15"/>
        <v>22.115624999999977</v>
      </c>
      <c r="K27" s="48"/>
      <c r="L27" s="48"/>
      <c r="M27">
        <f t="shared" si="16"/>
        <v>0.1650390625</v>
      </c>
      <c r="N27">
        <f t="shared" si="17"/>
        <v>0.12249999999999975</v>
      </c>
      <c r="O27">
        <f t="shared" si="18"/>
        <v>3992.66015625</v>
      </c>
      <c r="R27" s="26">
        <v>3</v>
      </c>
      <c r="S27" s="20">
        <v>148</v>
      </c>
      <c r="T27" s="31">
        <v>232.51463799999999</v>
      </c>
    </row>
    <row r="28" spans="1:25" x14ac:dyDescent="0.2">
      <c r="A28" s="41">
        <v>14.7</v>
      </c>
      <c r="B28" s="41"/>
      <c r="C28" s="41">
        <v>18.100000000000001</v>
      </c>
      <c r="D28" s="41"/>
      <c r="E28">
        <f>A28-$A$38</f>
        <v>5.40625</v>
      </c>
      <c r="F28">
        <f t="shared" si="12"/>
        <v>2.4500000000000011</v>
      </c>
      <c r="G28" s="41">
        <f t="shared" si="13"/>
        <v>125.1875</v>
      </c>
      <c r="H28" s="41"/>
      <c r="I28">
        <f t="shared" si="14"/>
        <v>676.794921875</v>
      </c>
      <c r="J28">
        <f t="shared" si="15"/>
        <v>306.70937500000014</v>
      </c>
      <c r="K28" s="48"/>
      <c r="L28" s="48"/>
      <c r="M28">
        <f t="shared" si="16"/>
        <v>29.2275390625</v>
      </c>
      <c r="N28">
        <f t="shared" si="17"/>
        <v>6.0025000000000048</v>
      </c>
      <c r="O28">
        <f t="shared" si="18"/>
        <v>15671.91015625</v>
      </c>
      <c r="R28" s="26">
        <v>4</v>
      </c>
      <c r="S28" s="20">
        <v>191</v>
      </c>
      <c r="T28" s="31">
        <v>298.78258299999999</v>
      </c>
    </row>
    <row r="29" spans="1:25" x14ac:dyDescent="0.2">
      <c r="A29" s="41">
        <v>18.7</v>
      </c>
      <c r="B29" s="41"/>
      <c r="C29" s="41">
        <v>13</v>
      </c>
      <c r="D29" s="41"/>
      <c r="E29">
        <f t="shared" si="11"/>
        <v>9.40625</v>
      </c>
      <c r="F29">
        <f t="shared" si="12"/>
        <v>-2.6500000000000004</v>
      </c>
      <c r="G29" s="41">
        <f t="shared" si="13"/>
        <v>138.1875</v>
      </c>
      <c r="H29" s="41"/>
      <c r="I29">
        <f t="shared" si="14"/>
        <v>1299.826171875</v>
      </c>
      <c r="J29">
        <f t="shared" si="15"/>
        <v>-366.19687500000003</v>
      </c>
      <c r="K29" s="48"/>
      <c r="L29" s="48"/>
      <c r="M29">
        <f t="shared" si="16"/>
        <v>88.4775390625</v>
      </c>
      <c r="N29">
        <f t="shared" si="17"/>
        <v>7.0225000000000017</v>
      </c>
      <c r="O29">
        <f t="shared" si="18"/>
        <v>19095.78515625</v>
      </c>
      <c r="R29" s="26">
        <v>5</v>
      </c>
      <c r="S29" s="20">
        <v>274</v>
      </c>
      <c r="T29" s="31">
        <v>292.02054800000002</v>
      </c>
    </row>
    <row r="30" spans="1:25" x14ac:dyDescent="0.2">
      <c r="A30" s="41">
        <v>19.8</v>
      </c>
      <c r="B30" s="41"/>
      <c r="C30" s="41">
        <v>15.8</v>
      </c>
      <c r="D30" s="41"/>
      <c r="E30">
        <f t="shared" si="11"/>
        <v>10.506250000000001</v>
      </c>
      <c r="F30">
        <f t="shared" si="12"/>
        <v>0.15000000000000036</v>
      </c>
      <c r="G30" s="41">
        <f t="shared" si="13"/>
        <v>60.1875</v>
      </c>
      <c r="H30" s="41"/>
      <c r="I30">
        <f t="shared" si="14"/>
        <v>632.34492187500007</v>
      </c>
      <c r="J30">
        <f t="shared" si="15"/>
        <v>9.0281250000000206</v>
      </c>
      <c r="K30" s="48"/>
      <c r="L30" s="48"/>
      <c r="M30">
        <f t="shared" si="16"/>
        <v>110.38128906250003</v>
      </c>
      <c r="N30">
        <f t="shared" si="17"/>
        <v>2.2500000000000107E-2</v>
      </c>
      <c r="O30">
        <f t="shared" si="18"/>
        <v>3622.53515625</v>
      </c>
      <c r="R30" s="26">
        <v>6</v>
      </c>
      <c r="S30" s="20">
        <v>370</v>
      </c>
      <c r="T30" s="31">
        <v>312.30665399999998</v>
      </c>
    </row>
    <row r="31" spans="1:25" x14ac:dyDescent="0.2">
      <c r="A31" s="41">
        <v>10.6</v>
      </c>
      <c r="B31" s="41"/>
      <c r="C31" s="41">
        <v>16.899999999999999</v>
      </c>
      <c r="D31" s="41"/>
      <c r="E31">
        <f t="shared" si="11"/>
        <v>1.3062500000000004</v>
      </c>
      <c r="F31">
        <f t="shared" si="12"/>
        <v>1.2499999999999982</v>
      </c>
      <c r="G31" s="41">
        <f t="shared" si="13"/>
        <v>60.1875</v>
      </c>
      <c r="H31" s="41"/>
      <c r="I31">
        <f t="shared" si="14"/>
        <v>78.619921875000017</v>
      </c>
      <c r="J31">
        <f t="shared" si="15"/>
        <v>75.234374999999886</v>
      </c>
      <c r="K31" s="48"/>
      <c r="L31" s="48"/>
      <c r="M31">
        <f t="shared" si="16"/>
        <v>1.7062890625000009</v>
      </c>
      <c r="N31">
        <f t="shared" si="17"/>
        <v>1.5624999999999956</v>
      </c>
      <c r="O31">
        <f t="shared" si="18"/>
        <v>3622.53515625</v>
      </c>
      <c r="R31" s="26">
        <v>7</v>
      </c>
      <c r="S31" s="20">
        <v>432</v>
      </c>
      <c r="T31" s="31">
        <v>379.92700600000001</v>
      </c>
    </row>
    <row r="32" spans="1:25" x14ac:dyDescent="0.2">
      <c r="A32" s="41">
        <v>8.6</v>
      </c>
      <c r="B32" s="41"/>
      <c r="C32" s="41">
        <v>16.3</v>
      </c>
      <c r="D32" s="41"/>
      <c r="E32">
        <f t="shared" si="11"/>
        <v>-0.69374999999999964</v>
      </c>
      <c r="F32">
        <f t="shared" si="12"/>
        <v>0.65000000000000036</v>
      </c>
      <c r="G32" s="41">
        <f t="shared" si="13"/>
        <v>14.1875</v>
      </c>
      <c r="H32" s="41"/>
      <c r="I32">
        <f t="shared" si="14"/>
        <v>-9.8425781249999957</v>
      </c>
      <c r="J32">
        <f t="shared" si="15"/>
        <v>9.2218750000000043</v>
      </c>
      <c r="K32" s="48"/>
      <c r="L32" s="48"/>
      <c r="M32">
        <f t="shared" si="16"/>
        <v>0.48128906249999953</v>
      </c>
      <c r="N32">
        <f t="shared" si="17"/>
        <v>0.42250000000000049</v>
      </c>
      <c r="O32">
        <f t="shared" si="18"/>
        <v>201.28515625</v>
      </c>
      <c r="R32" s="26">
        <v>8</v>
      </c>
      <c r="S32" s="20">
        <v>445</v>
      </c>
      <c r="T32" s="31">
        <v>434.02328799999998</v>
      </c>
    </row>
    <row r="33" spans="1:20" x14ac:dyDescent="0.2">
      <c r="A33" s="41">
        <v>6.5</v>
      </c>
      <c r="B33" s="41"/>
      <c r="C33" s="41">
        <v>16.100000000000001</v>
      </c>
      <c r="D33" s="41"/>
      <c r="E33">
        <f t="shared" si="11"/>
        <v>-2.7937499999999993</v>
      </c>
      <c r="F33">
        <f t="shared" si="12"/>
        <v>0.45000000000000107</v>
      </c>
      <c r="G33" s="41">
        <f t="shared" si="13"/>
        <v>0.1875</v>
      </c>
      <c r="H33" s="41"/>
      <c r="I33">
        <f t="shared" si="14"/>
        <v>-0.52382812499999987</v>
      </c>
      <c r="J33">
        <f t="shared" si="15"/>
        <v>8.43750000000002E-2</v>
      </c>
      <c r="K33" s="48"/>
      <c r="L33" s="48"/>
      <c r="M33">
        <f t="shared" si="16"/>
        <v>7.8050390624999961</v>
      </c>
      <c r="N33">
        <f t="shared" si="17"/>
        <v>0.20250000000000096</v>
      </c>
      <c r="O33">
        <f t="shared" si="18"/>
        <v>3.515625E-2</v>
      </c>
      <c r="R33" s="26">
        <v>9</v>
      </c>
      <c r="S33" s="20">
        <v>367</v>
      </c>
      <c r="T33" s="31">
        <v>448.899765</v>
      </c>
    </row>
    <row r="34" spans="1:20" x14ac:dyDescent="0.2">
      <c r="A34" s="41">
        <v>12.6</v>
      </c>
      <c r="B34" s="41"/>
      <c r="C34" s="41">
        <v>15.4</v>
      </c>
      <c r="D34" s="41"/>
      <c r="E34">
        <f t="shared" si="11"/>
        <v>3.3062500000000004</v>
      </c>
      <c r="F34">
        <f t="shared" si="12"/>
        <v>-0.25</v>
      </c>
      <c r="G34" s="41">
        <f t="shared" si="13"/>
        <v>24.1875</v>
      </c>
      <c r="H34" s="41"/>
      <c r="I34">
        <f t="shared" si="14"/>
        <v>79.969921875000011</v>
      </c>
      <c r="J34">
        <f t="shared" si="15"/>
        <v>-6.046875</v>
      </c>
      <c r="K34" s="48"/>
      <c r="L34" s="48"/>
      <c r="M34">
        <f t="shared" si="16"/>
        <v>10.931289062500003</v>
      </c>
      <c r="N34">
        <f t="shared" si="17"/>
        <v>6.25E-2</v>
      </c>
      <c r="O34">
        <f t="shared" si="18"/>
        <v>585.03515625</v>
      </c>
      <c r="R34" s="26">
        <v>10</v>
      </c>
      <c r="S34" s="20">
        <v>367</v>
      </c>
      <c r="T34" s="31">
        <v>324.478317</v>
      </c>
    </row>
    <row r="35" spans="1:20" x14ac:dyDescent="0.2">
      <c r="A35" s="41">
        <v>6.5</v>
      </c>
      <c r="B35" s="41"/>
      <c r="C35" s="41">
        <v>15.7</v>
      </c>
      <c r="D35" s="41"/>
      <c r="E35">
        <f t="shared" si="11"/>
        <v>-2.7937499999999993</v>
      </c>
      <c r="F35">
        <f t="shared" si="12"/>
        <v>4.9999999999998934E-2</v>
      </c>
      <c r="G35" s="41">
        <f t="shared" si="13"/>
        <v>38.1875</v>
      </c>
      <c r="H35" s="41"/>
      <c r="I35">
        <f t="shared" si="14"/>
        <v>-106.68632812499997</v>
      </c>
      <c r="J35">
        <f t="shared" si="15"/>
        <v>1.9093749999999594</v>
      </c>
      <c r="K35" s="48"/>
      <c r="L35" s="48"/>
      <c r="M35">
        <f t="shared" si="16"/>
        <v>7.8050390624999961</v>
      </c>
      <c r="N35">
        <f t="shared" si="17"/>
        <v>2.4999999999998934E-3</v>
      </c>
      <c r="O35">
        <f t="shared" si="18"/>
        <v>1458.28515625</v>
      </c>
      <c r="R35" s="26">
        <v>11</v>
      </c>
      <c r="S35" s="20">
        <v>321</v>
      </c>
      <c r="T35" s="31">
        <v>297.43017600000002</v>
      </c>
    </row>
    <row r="36" spans="1:20" x14ac:dyDescent="0.2">
      <c r="A36" s="41">
        <v>5.8</v>
      </c>
      <c r="B36" s="41"/>
      <c r="C36" s="41">
        <v>16</v>
      </c>
      <c r="D36" s="41"/>
      <c r="E36">
        <f t="shared" si="11"/>
        <v>-3.4937499999999995</v>
      </c>
      <c r="F36">
        <f t="shared" si="12"/>
        <v>0.34999999999999964</v>
      </c>
      <c r="G36" s="41">
        <f t="shared" si="13"/>
        <v>57.1875</v>
      </c>
      <c r="H36" s="41"/>
      <c r="I36">
        <f t="shared" si="14"/>
        <v>-199.79882812499997</v>
      </c>
      <c r="J36">
        <f t="shared" si="15"/>
        <v>20.015624999999979</v>
      </c>
      <c r="K36" s="48"/>
      <c r="L36" s="48"/>
      <c r="M36">
        <f t="shared" si="16"/>
        <v>12.206289062499996</v>
      </c>
      <c r="N36">
        <f t="shared" si="17"/>
        <v>0.12249999999999975</v>
      </c>
      <c r="O36">
        <f t="shared" si="18"/>
        <v>3270.41015625</v>
      </c>
      <c r="R36" s="26">
        <v>12</v>
      </c>
      <c r="S36" s="20">
        <v>307</v>
      </c>
      <c r="T36" s="31">
        <v>269.029628</v>
      </c>
    </row>
    <row r="37" spans="1:20" x14ac:dyDescent="0.2">
      <c r="A37" s="41">
        <v>5.7</v>
      </c>
      <c r="B37" s="41"/>
      <c r="C37" s="41">
        <v>15.1</v>
      </c>
      <c r="D37" s="41"/>
      <c r="E37">
        <f t="shared" si="11"/>
        <v>-3.5937499999999991</v>
      </c>
      <c r="F37">
        <f t="shared" si="12"/>
        <v>-0.55000000000000071</v>
      </c>
      <c r="G37" s="41">
        <f>B17-$B$18</f>
        <v>77.1875</v>
      </c>
      <c r="H37" s="41"/>
      <c r="I37">
        <f t="shared" si="14"/>
        <v>-277.39257812499994</v>
      </c>
      <c r="J37">
        <f t="shared" si="15"/>
        <v>-42.453125000000057</v>
      </c>
      <c r="K37" s="48"/>
      <c r="L37" s="48"/>
      <c r="M37">
        <f t="shared" si="16"/>
        <v>12.915039062499993</v>
      </c>
      <c r="N37">
        <f t="shared" si="17"/>
        <v>0.30250000000000077</v>
      </c>
      <c r="O37">
        <f t="shared" si="18"/>
        <v>5957.91015625</v>
      </c>
      <c r="R37" s="26">
        <v>13</v>
      </c>
      <c r="S37" s="20">
        <v>331</v>
      </c>
      <c r="T37" s="31">
        <v>351.52645799999999</v>
      </c>
    </row>
    <row r="38" spans="1:20" x14ac:dyDescent="0.2">
      <c r="A38" s="39">
        <f>AVERAGE(A22:B37)</f>
        <v>9.2937499999999993</v>
      </c>
      <c r="B38" s="39"/>
      <c r="C38" s="39">
        <f>AVERAGE(C22:D37)</f>
        <v>15.65</v>
      </c>
      <c r="D38" s="39"/>
      <c r="I38" s="1">
        <f>SUM(I22:I37)</f>
        <v>4896.3812499999995</v>
      </c>
      <c r="J38" s="1">
        <f>SUM(J22:J37)</f>
        <v>385.25000000000006</v>
      </c>
      <c r="K38" s="1">
        <f>SQRT(M38*O38)</f>
        <v>7580.4954388121332</v>
      </c>
      <c r="L38" s="1">
        <f>SQRT(N38*O38)</f>
        <v>1654.1783043251417</v>
      </c>
      <c r="M38" s="1">
        <f>SUM(M22:M37)</f>
        <v>362.049375</v>
      </c>
      <c r="N38" s="1">
        <f t="shared" ref="N38:O38" si="19">SUM(N22:N37)</f>
        <v>17.240000000000006</v>
      </c>
      <c r="O38" s="1">
        <f t="shared" si="19"/>
        <v>158718.4375</v>
      </c>
      <c r="R38" s="26">
        <v>14</v>
      </c>
      <c r="S38" s="20">
        <v>345</v>
      </c>
      <c r="T38" s="31">
        <v>269.029628</v>
      </c>
    </row>
    <row r="39" spans="1:20" x14ac:dyDescent="0.2">
      <c r="A39" s="41" t="s">
        <v>8</v>
      </c>
      <c r="B39" s="41"/>
      <c r="C39" s="41"/>
      <c r="D39" s="41"/>
      <c r="R39" s="26">
        <v>15</v>
      </c>
      <c r="S39" s="20">
        <v>364</v>
      </c>
      <c r="T39" s="31">
        <v>259.56277899999998</v>
      </c>
    </row>
    <row r="40" spans="1:20" x14ac:dyDescent="0.2">
      <c r="A40" s="47">
        <f>I38/K38</f>
        <v>0.64591836899347366</v>
      </c>
      <c r="B40" s="47"/>
      <c r="C40" s="41">
        <f>J38/L38</f>
        <v>0.23289508693996036</v>
      </c>
      <c r="D40" s="41"/>
      <c r="F40" s="49" t="s">
        <v>11</v>
      </c>
      <c r="G40" s="49"/>
      <c r="H40" s="49"/>
      <c r="I40" s="49"/>
      <c r="R40" s="27">
        <v>16</v>
      </c>
      <c r="S40" s="24">
        <v>384</v>
      </c>
      <c r="T40" s="32">
        <v>258.21037200000001</v>
      </c>
    </row>
    <row r="41" spans="1:20" x14ac:dyDescent="0.2">
      <c r="F41" s="49"/>
      <c r="G41" s="49"/>
      <c r="H41" s="49"/>
      <c r="I41" s="49"/>
      <c r="R41" s="33">
        <v>17</v>
      </c>
      <c r="S41" s="5"/>
      <c r="T41" s="34">
        <v>259.74310000000003</v>
      </c>
    </row>
    <row r="42" spans="1:20" x14ac:dyDescent="0.2">
      <c r="F42" s="49"/>
      <c r="G42" s="49"/>
      <c r="H42" s="49"/>
      <c r="I42" s="49"/>
      <c r="R42" s="27">
        <v>18</v>
      </c>
      <c r="S42" s="13"/>
      <c r="T42" s="32">
        <v>261.27582799999999</v>
      </c>
    </row>
    <row r="43" spans="1:20" x14ac:dyDescent="0.2">
      <c r="F43" s="49"/>
      <c r="G43" s="49"/>
      <c r="H43" s="49"/>
      <c r="I43" s="49"/>
    </row>
  </sheetData>
  <mergeCells count="73">
    <mergeCell ref="A39:D39"/>
    <mergeCell ref="A40:B40"/>
    <mergeCell ref="C40:D40"/>
    <mergeCell ref="G33:H33"/>
    <mergeCell ref="G34:H34"/>
    <mergeCell ref="G35:H35"/>
    <mergeCell ref="G36:H36"/>
    <mergeCell ref="G37:H37"/>
    <mergeCell ref="A34:B34"/>
    <mergeCell ref="A35:B35"/>
    <mergeCell ref="A36:B36"/>
    <mergeCell ref="A37:B37"/>
    <mergeCell ref="F40:I43"/>
    <mergeCell ref="G26:H26"/>
    <mergeCell ref="C34:D34"/>
    <mergeCell ref="C35:D35"/>
    <mergeCell ref="C36:D36"/>
    <mergeCell ref="C37:D37"/>
    <mergeCell ref="C32:D32"/>
    <mergeCell ref="C33:D33"/>
    <mergeCell ref="G27:H27"/>
    <mergeCell ref="G28:H28"/>
    <mergeCell ref="G29:H29"/>
    <mergeCell ref="G30:H30"/>
    <mergeCell ref="G31:H31"/>
    <mergeCell ref="G32:H32"/>
    <mergeCell ref="A33:B33"/>
    <mergeCell ref="A32:B32"/>
    <mergeCell ref="C26:D26"/>
    <mergeCell ref="A38:B38"/>
    <mergeCell ref="C38:D38"/>
    <mergeCell ref="C27:D27"/>
    <mergeCell ref="C31:D31"/>
    <mergeCell ref="C30:D30"/>
    <mergeCell ref="C28:D28"/>
    <mergeCell ref="C29:D29"/>
    <mergeCell ref="A27:B27"/>
    <mergeCell ref="A28:B28"/>
    <mergeCell ref="A29:B29"/>
    <mergeCell ref="A30:B30"/>
    <mergeCell ref="A31:B31"/>
    <mergeCell ref="A26:B26"/>
    <mergeCell ref="P3:P17"/>
    <mergeCell ref="Q3:Q17"/>
    <mergeCell ref="R1:S2"/>
    <mergeCell ref="A19:D19"/>
    <mergeCell ref="A20:B21"/>
    <mergeCell ref="C20:D21"/>
    <mergeCell ref="A22:B22"/>
    <mergeCell ref="A24:B24"/>
    <mergeCell ref="A23:B23"/>
    <mergeCell ref="C22:D22"/>
    <mergeCell ref="C23:D23"/>
    <mergeCell ref="C24:D24"/>
    <mergeCell ref="C25:D25"/>
    <mergeCell ref="E19:F21"/>
    <mergeCell ref="I19:J21"/>
    <mergeCell ref="T1:U2"/>
    <mergeCell ref="T3:U3"/>
    <mergeCell ref="T19:U19"/>
    <mergeCell ref="V19:W19"/>
    <mergeCell ref="A25:B25"/>
    <mergeCell ref="G22:H22"/>
    <mergeCell ref="G23:H23"/>
    <mergeCell ref="G24:H24"/>
    <mergeCell ref="G25:H25"/>
    <mergeCell ref="M19:N21"/>
    <mergeCell ref="O19:O21"/>
    <mergeCell ref="K22:K37"/>
    <mergeCell ref="L22:L37"/>
    <mergeCell ref="G19:H21"/>
    <mergeCell ref="K19:L21"/>
    <mergeCell ref="S4:S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e314</dc:creator>
  <cp:lastModifiedBy>e314</cp:lastModifiedBy>
  <dcterms:created xsi:type="dcterms:W3CDTF">2025-11-15T08:14:19Z</dcterms:created>
  <dcterms:modified xsi:type="dcterms:W3CDTF">2025-11-29T17:14:38Z</dcterms:modified>
</cp:coreProperties>
</file>