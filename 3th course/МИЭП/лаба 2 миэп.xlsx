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korolev/Documents/university/3th course/МИЭП/"/>
    </mc:Choice>
  </mc:AlternateContent>
  <xr:revisionPtr revIDLastSave="0" documentId="13_ncr:1_{42ABE258-7479-3E4A-B1AD-FCD3FD87C63B}" xr6:coauthVersionLast="47" xr6:coauthVersionMax="47" xr10:uidLastSave="{00000000-0000-0000-0000-000000000000}"/>
  <bookViews>
    <workbookView xWindow="0" yWindow="680" windowWidth="29400" windowHeight="16880" xr2:uid="{955C330A-0D08-FC45-92D3-890BE74BBC5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A28" i="1"/>
  <c r="B28" i="1"/>
  <c r="K31" i="1"/>
  <c r="K32" i="1"/>
  <c r="K33" i="1"/>
  <c r="K34" i="1"/>
  <c r="K35" i="1"/>
  <c r="K36" i="1"/>
  <c r="K30" i="1"/>
  <c r="K29" i="1"/>
  <c r="L17" i="1"/>
  <c r="L18" i="1"/>
  <c r="L19" i="1"/>
  <c r="L20" i="1"/>
  <c r="L21" i="1"/>
  <c r="N16" i="1" s="1"/>
  <c r="O15" i="1" s="1"/>
  <c r="L22" i="1"/>
  <c r="L23" i="1"/>
  <c r="L16" i="1"/>
  <c r="K17" i="1"/>
  <c r="K18" i="1"/>
  <c r="K19" i="1"/>
  <c r="K20" i="1"/>
  <c r="K21" i="1"/>
  <c r="K22" i="1"/>
  <c r="K23" i="1"/>
  <c r="K16" i="1"/>
  <c r="I32" i="1"/>
  <c r="I31" i="1"/>
  <c r="I29" i="1"/>
  <c r="I30" i="1"/>
  <c r="J30" i="1" s="1"/>
  <c r="J29" i="1"/>
  <c r="G36" i="1"/>
  <c r="G30" i="1"/>
  <c r="G31" i="1" s="1"/>
  <c r="G32" i="1" s="1"/>
  <c r="G33" i="1" s="1"/>
  <c r="G34" i="1" s="1"/>
  <c r="G35" i="1" s="1"/>
  <c r="G29" i="1"/>
  <c r="C29" i="1"/>
  <c r="C30" i="1" s="1"/>
  <c r="C31" i="1" s="1"/>
  <c r="C32" i="1" s="1"/>
  <c r="C33" i="1" s="1"/>
  <c r="C34" i="1" s="1"/>
  <c r="C35" i="1" s="1"/>
  <c r="C36" i="1" s="1"/>
  <c r="M16" i="1"/>
  <c r="P15" i="1" s="1"/>
  <c r="B15" i="1"/>
  <c r="B14" i="1"/>
  <c r="B13" i="1"/>
  <c r="B12" i="1"/>
  <c r="B11" i="1"/>
  <c r="B10" i="1"/>
  <c r="B9" i="1"/>
  <c r="D33" i="1" l="1"/>
  <c r="D31" i="1"/>
  <c r="D35" i="1"/>
  <c r="D30" i="1"/>
  <c r="D29" i="1"/>
  <c r="D34" i="1"/>
  <c r="D32" i="1"/>
  <c r="D36" i="1"/>
  <c r="J31" i="1"/>
  <c r="J32" i="1" s="1"/>
  <c r="I33" i="1" l="1"/>
  <c r="J33" i="1" l="1"/>
  <c r="I34" i="1"/>
  <c r="J34" i="1" l="1"/>
  <c r="I35" i="1" s="1"/>
  <c r="J35" i="1" l="1"/>
  <c r="I36" i="1"/>
  <c r="J36" i="1" s="1"/>
</calcChain>
</file>

<file path=xl/sharedStrings.xml><?xml version="1.0" encoding="utf-8"?>
<sst xmlns="http://schemas.openxmlformats.org/spreadsheetml/2006/main" count="37" uniqueCount="32">
  <si>
    <t>t</t>
  </si>
  <si>
    <t>Y(t)</t>
  </si>
  <si>
    <t>Исходя из данных был выбран интервал m = 3</t>
  </si>
  <si>
    <t>Ŷ(t) = (Y(t-1) + Y(t) + Y(t+1)) / 3</t>
  </si>
  <si>
    <t>Для простой скользящей средней с интервалом сглаживания m=3 формула выглядит так:</t>
  </si>
  <si>
    <t>Ŷ(2)</t>
  </si>
  <si>
    <t>Ŷ(3)</t>
  </si>
  <si>
    <t>Ŷ(4)</t>
  </si>
  <si>
    <t>Ŷ(5)</t>
  </si>
  <si>
    <t>Ŷ(6)</t>
  </si>
  <si>
    <t>Ŷ(7)</t>
  </si>
  <si>
    <t>Ŷ(8)</t>
  </si>
  <si>
    <t>Момент t</t>
  </si>
  <si>
    <t>max(t)</t>
  </si>
  <si>
    <t>min(t)</t>
  </si>
  <si>
    <t>d(t) = Y(t) - min(t-1)</t>
  </si>
  <si>
    <t>s(t) = Y(t) - max(t)</t>
  </si>
  <si>
    <t>-</t>
  </si>
  <si>
    <t>Суммы</t>
  </si>
  <si>
    <t>S</t>
  </si>
  <si>
    <t>D</t>
  </si>
  <si>
    <t>K = S / √(n-1)</t>
  </si>
  <si>
    <t>V = D / √(n-1)</t>
  </si>
  <si>
    <t>Так как K &lt; 0 и V &lt; 0, то в  данном ряду тренд убывающий. Статистика K значима, так как её модуль  больше 1, что подтверждает наличие тренда.</t>
  </si>
  <si>
    <t>a₀</t>
  </si>
  <si>
    <t>a₁</t>
  </si>
  <si>
    <t>Линейная модель тренда</t>
  </si>
  <si>
    <t>Y(t) = a₀ + a₁t</t>
  </si>
  <si>
    <t>a₀(t)</t>
  </si>
  <si>
    <t>a₁(t)</t>
  </si>
  <si>
    <t>Построение адаптивной модели Брауна Y(t) = a₀ + a₁k, β=0,4</t>
  </si>
  <si>
    <t>Y*(t) (Прогноз)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</si>
</sst>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b/>
      <sz val="13.5"/>
      <color rgb="FF0F1115"/>
      <name val="Helvetica Neue"/>
      <family val="2"/>
    </font>
    <font>
      <b/>
      <sz val="20"/>
      <color rgb="FF0F1115"/>
      <name val="Helvetica Neue"/>
      <family val="2"/>
    </font>
    <font>
      <b/>
      <sz val="16"/>
      <color rgb="FF0F1115"/>
      <name val="Helvetica Neue"/>
      <family val="2"/>
      <charset val="204"/>
    </font>
    <font>
      <b/>
      <sz val="16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Адаптивная модель Брауна (</a:t>
            </a:r>
            <a:r>
              <a:rPr lang="el-GR" sz="1400" b="0" i="0" u="none" strike="noStrike" baseline="0">
                <a:effectLst/>
              </a:rPr>
              <a:t>β=0,4)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Фактические данные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Лист1!$G$29:$G$36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Лист1!$H$29:$H$36</c:f>
              <c:numCache>
                <c:formatCode>General</c:formatCode>
                <c:ptCount val="8"/>
                <c:pt idx="0">
                  <c:v>87</c:v>
                </c:pt>
                <c:pt idx="1">
                  <c:v>85</c:v>
                </c:pt>
                <c:pt idx="2">
                  <c:v>86</c:v>
                </c:pt>
                <c:pt idx="3">
                  <c:v>82</c:v>
                </c:pt>
                <c:pt idx="4">
                  <c:v>80</c:v>
                </c:pt>
                <c:pt idx="5">
                  <c:v>81</c:v>
                </c:pt>
                <c:pt idx="6">
                  <c:v>78</c:v>
                </c:pt>
                <c:pt idx="7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52-9B41-8173-B252AF02F101}"/>
            </c:ext>
          </c:extLst>
        </c:ser>
        <c:ser>
          <c:idx val="1"/>
          <c:order val="1"/>
          <c:tx>
            <c:v>Прогноз по Брауну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Лист1!$G$29:$G$36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Лист1!$K$29:$K$36</c:f>
              <c:numCache>
                <c:formatCode>General</c:formatCode>
                <c:ptCount val="8"/>
                <c:pt idx="0">
                  <c:v>90</c:v>
                </c:pt>
                <c:pt idx="1">
                  <c:v>88.320000000000022</c:v>
                </c:pt>
                <c:pt idx="2">
                  <c:v>85.980800000000031</c:v>
                </c:pt>
                <c:pt idx="3">
                  <c:v>84.980352000000011</c:v>
                </c:pt>
                <c:pt idx="4">
                  <c:v>82.303226880000011</c:v>
                </c:pt>
                <c:pt idx="5">
                  <c:v>79.528435507200001</c:v>
                </c:pt>
                <c:pt idx="6">
                  <c:v>78.499011002368007</c:v>
                </c:pt>
                <c:pt idx="7">
                  <c:v>76.601514539089919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52-9B41-8173-B252AF02F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032127"/>
        <c:axId val="545044479"/>
      </c:lineChart>
      <c:catAx>
        <c:axId val="56103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5044479"/>
        <c:crosses val="autoZero"/>
        <c:auto val="1"/>
        <c:lblAlgn val="ctr"/>
        <c:lblOffset val="100"/>
        <c:noMultiLvlLbl val="0"/>
      </c:catAx>
      <c:valAx>
        <c:axId val="5450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103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381000</xdr:colOff>
      <xdr:row>16</xdr:row>
      <xdr:rowOff>101600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BF6AA6-50F9-3D75-09BF-17AA7C8F7883}"/>
            </a:ext>
          </a:extLst>
        </xdr:cNvPr>
        <xdr:cNvSpPr txBox="1"/>
      </xdr:nvSpPr>
      <xdr:spPr>
        <a:xfrm>
          <a:off x="10977880" y="335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twoCellAnchor editAs="oneCell">
    <xdr:from>
      <xdr:col>12</xdr:col>
      <xdr:colOff>32845</xdr:colOff>
      <xdr:row>25</xdr:row>
      <xdr:rowOff>167794</xdr:rowOff>
    </xdr:from>
    <xdr:to>
      <xdr:col>16</xdr:col>
      <xdr:colOff>730031</xdr:colOff>
      <xdr:row>29</xdr:row>
      <xdr:rowOff>190060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ACB623B-9724-C8BC-1EE3-B75199B29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2155" y="5477708"/>
          <a:ext cx="4102100" cy="930973"/>
        </a:xfrm>
        <a:prstGeom prst="rect">
          <a:avLst/>
        </a:prstGeom>
      </xdr:spPr>
    </xdr:pic>
    <xdr:clientData/>
  </xdr:twoCellAnchor>
  <xdr:twoCellAnchor>
    <xdr:from>
      <xdr:col>11</xdr:col>
      <xdr:colOff>1000015</xdr:colOff>
      <xdr:row>30</xdr:row>
      <xdr:rowOff>169273</xdr:rowOff>
    </xdr:from>
    <xdr:to>
      <xdr:col>17</xdr:col>
      <xdr:colOff>154533</xdr:colOff>
      <xdr:row>44</xdr:row>
      <xdr:rowOff>52753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ED0F36E6-D6F9-CAD5-1F0E-4DCDF9A35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45DE-AF78-2048-A3EA-B01850AAFB9D}">
  <dimension ref="A1:T36"/>
  <sheetViews>
    <sheetView tabSelected="1" topLeftCell="A20" zoomScale="131" workbookViewId="0">
      <selection activeCell="D22" sqref="D22"/>
    </sheetView>
  </sheetViews>
  <sheetFormatPr baseColWidth="10" defaultRowHeight="16" x14ac:dyDescent="0.2"/>
  <cols>
    <col min="10" max="10" width="9.5" customWidth="1"/>
    <col min="11" max="11" width="19" bestFit="1" customWidth="1"/>
    <col min="12" max="12" width="15.33203125" bestFit="1" customWidth="1"/>
    <col min="15" max="15" width="11.5" bestFit="1" customWidth="1"/>
    <col min="16" max="16" width="11.6640625" bestFit="1" customWidth="1"/>
  </cols>
  <sheetData>
    <row r="1" spans="1:16" x14ac:dyDescent="0.2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</row>
    <row r="2" spans="1:16" x14ac:dyDescent="0.2">
      <c r="A2" s="2" t="s">
        <v>1</v>
      </c>
      <c r="B2" s="2">
        <v>90</v>
      </c>
      <c r="C2" s="2">
        <v>87</v>
      </c>
      <c r="D2" s="2">
        <v>85</v>
      </c>
      <c r="E2" s="2">
        <v>86</v>
      </c>
      <c r="F2" s="2">
        <v>82</v>
      </c>
      <c r="G2" s="2">
        <v>80</v>
      </c>
      <c r="H2" s="2">
        <v>81</v>
      </c>
      <c r="I2" s="2">
        <v>78</v>
      </c>
      <c r="J2" s="2">
        <v>76</v>
      </c>
    </row>
    <row r="4" spans="1:16" x14ac:dyDescent="0.2">
      <c r="A4" t="s">
        <v>2</v>
      </c>
    </row>
    <row r="6" spans="1:16" x14ac:dyDescent="0.2">
      <c r="A6" s="1" t="s">
        <v>4</v>
      </c>
    </row>
    <row r="7" spans="1:16" x14ac:dyDescent="0.2">
      <c r="A7" t="s">
        <v>3</v>
      </c>
    </row>
    <row r="9" spans="1:16" x14ac:dyDescent="0.2">
      <c r="A9" s="2" t="s">
        <v>5</v>
      </c>
      <c r="B9" s="2">
        <f>SUM(B2:D2)/3</f>
        <v>87.333333333333329</v>
      </c>
    </row>
    <row r="10" spans="1:16" x14ac:dyDescent="0.2">
      <c r="A10" s="2" t="s">
        <v>6</v>
      </c>
      <c r="B10" s="2">
        <f>SUM(C2:E2)/3</f>
        <v>86</v>
      </c>
    </row>
    <row r="11" spans="1:16" x14ac:dyDescent="0.2">
      <c r="A11" s="2" t="s">
        <v>7</v>
      </c>
      <c r="B11" s="2">
        <f>SUM(D2:F2)/3</f>
        <v>84.333333333333329</v>
      </c>
    </row>
    <row r="12" spans="1:16" x14ac:dyDescent="0.2">
      <c r="A12" s="2" t="s">
        <v>8</v>
      </c>
      <c r="B12" s="2">
        <f>SUM(E2:G2)/3</f>
        <v>82.666666666666671</v>
      </c>
    </row>
    <row r="13" spans="1:16" x14ac:dyDescent="0.2">
      <c r="A13" s="2" t="s">
        <v>9</v>
      </c>
      <c r="B13" s="2">
        <f>SUM(F2:H2)/3</f>
        <v>81</v>
      </c>
    </row>
    <row r="14" spans="1:16" x14ac:dyDescent="0.2">
      <c r="A14" s="2" t="s">
        <v>10</v>
      </c>
      <c r="B14" s="2">
        <f>SUM(G2:I2)/3</f>
        <v>79.666666666666671</v>
      </c>
      <c r="G14" s="3" t="s">
        <v>12</v>
      </c>
      <c r="H14" s="3" t="s">
        <v>1</v>
      </c>
      <c r="I14" s="3" t="s">
        <v>13</v>
      </c>
      <c r="J14" s="3" t="s">
        <v>14</v>
      </c>
      <c r="K14" s="3" t="s">
        <v>15</v>
      </c>
      <c r="L14" s="3" t="s">
        <v>16</v>
      </c>
      <c r="M14" s="8" t="s">
        <v>18</v>
      </c>
      <c r="N14" s="8"/>
      <c r="O14" s="3" t="s">
        <v>21</v>
      </c>
      <c r="P14" s="3" t="s">
        <v>22</v>
      </c>
    </row>
    <row r="15" spans="1:16" x14ac:dyDescent="0.2">
      <c r="A15" s="2" t="s">
        <v>11</v>
      </c>
      <c r="B15" s="2">
        <f>SUM(H2:J2)/3</f>
        <v>78.333333333333329</v>
      </c>
      <c r="G15" s="3">
        <v>1</v>
      </c>
      <c r="H15" s="3">
        <v>90</v>
      </c>
      <c r="I15" s="3">
        <v>90</v>
      </c>
      <c r="J15" s="3">
        <v>90</v>
      </c>
      <c r="K15" s="3" t="s">
        <v>17</v>
      </c>
      <c r="L15" s="3" t="s">
        <v>17</v>
      </c>
      <c r="M15" s="3" t="s">
        <v>19</v>
      </c>
      <c r="N15" s="3" t="s">
        <v>20</v>
      </c>
      <c r="O15">
        <f>N16/ SQRT(9-1)</f>
        <v>-22.980970388562792</v>
      </c>
      <c r="P15">
        <f>M16/SQRT(9-1)</f>
        <v>-4.2426406871192848</v>
      </c>
    </row>
    <row r="16" spans="1:16" x14ac:dyDescent="0.2">
      <c r="G16" s="3">
        <v>2</v>
      </c>
      <c r="H16" s="3">
        <v>87</v>
      </c>
      <c r="I16" s="3">
        <v>90</v>
      </c>
      <c r="J16" s="3">
        <v>87</v>
      </c>
      <c r="K16" s="3">
        <f>H16-$J15</f>
        <v>-3</v>
      </c>
      <c r="L16" s="3">
        <f>$H16-MAX(I15:I23)</f>
        <v>-3</v>
      </c>
      <c r="M16">
        <f>SUM(K15:K23)</f>
        <v>-12</v>
      </c>
      <c r="N16">
        <f>SUM(L15:L23)</f>
        <v>-65</v>
      </c>
    </row>
    <row r="17" spans="1:20" x14ac:dyDescent="0.2">
      <c r="G17" s="3">
        <v>3</v>
      </c>
      <c r="H17" s="3">
        <v>85</v>
      </c>
      <c r="I17" s="3">
        <v>90</v>
      </c>
      <c r="J17" s="3">
        <v>85</v>
      </c>
      <c r="K17" s="3">
        <f t="shared" ref="K17:K23" si="0">H17-$J16</f>
        <v>-2</v>
      </c>
      <c r="L17" s="3">
        <f t="shared" ref="L17:L23" si="1">$H17-MAX(I16:I24)</f>
        <v>-5</v>
      </c>
    </row>
    <row r="18" spans="1:20" x14ac:dyDescent="0.2">
      <c r="G18" s="3">
        <v>4</v>
      </c>
      <c r="H18" s="3">
        <v>86</v>
      </c>
      <c r="I18" s="3">
        <v>90</v>
      </c>
      <c r="J18" s="3">
        <v>85</v>
      </c>
      <c r="K18" s="3">
        <f t="shared" si="0"/>
        <v>1</v>
      </c>
      <c r="L18" s="3">
        <f t="shared" si="1"/>
        <v>-4</v>
      </c>
    </row>
    <row r="19" spans="1:20" ht="16" customHeight="1" x14ac:dyDescent="0.2">
      <c r="G19" s="3">
        <v>5</v>
      </c>
      <c r="H19" s="3">
        <v>82</v>
      </c>
      <c r="I19" s="3">
        <v>90</v>
      </c>
      <c r="J19" s="3">
        <v>82</v>
      </c>
      <c r="K19" s="3">
        <f t="shared" si="0"/>
        <v>-3</v>
      </c>
      <c r="L19" s="3">
        <f t="shared" si="1"/>
        <v>-8</v>
      </c>
      <c r="O19" s="9" t="s">
        <v>23</v>
      </c>
      <c r="P19" s="9"/>
      <c r="Q19" s="9"/>
      <c r="R19" s="9"/>
      <c r="S19" s="9"/>
      <c r="T19" s="9"/>
    </row>
    <row r="20" spans="1:20" x14ac:dyDescent="0.2">
      <c r="G20" s="3">
        <v>6</v>
      </c>
      <c r="H20" s="3">
        <v>80</v>
      </c>
      <c r="I20" s="3">
        <v>90</v>
      </c>
      <c r="J20" s="3">
        <v>80</v>
      </c>
      <c r="K20" s="3">
        <f t="shared" si="0"/>
        <v>-2</v>
      </c>
      <c r="L20" s="3">
        <f t="shared" si="1"/>
        <v>-10</v>
      </c>
      <c r="O20" s="9"/>
      <c r="P20" s="9"/>
      <c r="Q20" s="9"/>
      <c r="R20" s="9"/>
      <c r="S20" s="9"/>
      <c r="T20" s="9"/>
    </row>
    <row r="21" spans="1:20" x14ac:dyDescent="0.2">
      <c r="G21" s="3">
        <v>7</v>
      </c>
      <c r="H21" s="3">
        <v>81</v>
      </c>
      <c r="I21" s="3">
        <v>90</v>
      </c>
      <c r="J21" s="3">
        <v>80</v>
      </c>
      <c r="K21" s="3">
        <f t="shared" si="0"/>
        <v>1</v>
      </c>
      <c r="L21" s="3">
        <f t="shared" si="1"/>
        <v>-9</v>
      </c>
      <c r="O21" s="9"/>
      <c r="P21" s="9"/>
      <c r="Q21" s="9"/>
      <c r="R21" s="9"/>
      <c r="S21" s="9"/>
      <c r="T21" s="9"/>
    </row>
    <row r="22" spans="1:20" x14ac:dyDescent="0.2">
      <c r="G22" s="3">
        <v>8</v>
      </c>
      <c r="H22" s="3">
        <v>78</v>
      </c>
      <c r="I22" s="3">
        <v>90</v>
      </c>
      <c r="J22" s="3">
        <v>78</v>
      </c>
      <c r="K22" s="3">
        <f t="shared" si="0"/>
        <v>-2</v>
      </c>
      <c r="L22" s="3">
        <f t="shared" si="1"/>
        <v>-12</v>
      </c>
      <c r="O22" s="9"/>
      <c r="P22" s="9"/>
      <c r="Q22" s="9"/>
      <c r="R22" s="9"/>
      <c r="S22" s="9"/>
      <c r="T22" s="9"/>
    </row>
    <row r="23" spans="1:20" x14ac:dyDescent="0.2">
      <c r="G23" s="3">
        <v>9</v>
      </c>
      <c r="H23" s="3">
        <v>76</v>
      </c>
      <c r="I23" s="3">
        <v>90</v>
      </c>
      <c r="J23" s="3">
        <v>76</v>
      </c>
      <c r="K23" s="3">
        <f t="shared" si="0"/>
        <v>-2</v>
      </c>
      <c r="L23" s="3">
        <f t="shared" si="1"/>
        <v>-14</v>
      </c>
    </row>
    <row r="25" spans="1:20" ht="25" x14ac:dyDescent="0.25">
      <c r="A25" s="5" t="s">
        <v>27</v>
      </c>
      <c r="G25" s="4" t="s">
        <v>30</v>
      </c>
    </row>
    <row r="27" spans="1:20" ht="22" x14ac:dyDescent="0.3">
      <c r="A27" s="6" t="s">
        <v>24</v>
      </c>
      <c r="B27" s="6" t="s">
        <v>25</v>
      </c>
      <c r="C27" s="7" t="s">
        <v>26</v>
      </c>
      <c r="G27" s="7" t="s">
        <v>0</v>
      </c>
      <c r="H27" s="7" t="s">
        <v>1</v>
      </c>
      <c r="I27" s="6" t="s">
        <v>28</v>
      </c>
      <c r="J27" s="6" t="s">
        <v>29</v>
      </c>
      <c r="K27" s="6" t="s">
        <v>31</v>
      </c>
    </row>
    <row r="28" spans="1:20" x14ac:dyDescent="0.2">
      <c r="A28">
        <f>INTERCEPT(H15:H23,G15:G23)</f>
        <v>90.8611111111111</v>
      </c>
      <c r="B28">
        <f>SLOPE(H15:H23,G15:G23)</f>
        <v>-1.6166666666666667</v>
      </c>
      <c r="C28">
        <v>1</v>
      </c>
      <c r="D28">
        <f>$A$28+$B$28*C28</f>
        <v>89.24444444444444</v>
      </c>
      <c r="G28">
        <v>1</v>
      </c>
      <c r="H28">
        <v>90</v>
      </c>
      <c r="I28">
        <v>90</v>
      </c>
      <c r="J28">
        <v>0</v>
      </c>
      <c r="K28" t="s">
        <v>17</v>
      </c>
    </row>
    <row r="29" spans="1:20" x14ac:dyDescent="0.2">
      <c r="C29">
        <f>C28+1</f>
        <v>2</v>
      </c>
      <c r="D29">
        <f t="shared" ref="D29:D36" si="2">$A$28+$B$28*C29</f>
        <v>87.627777777777766</v>
      </c>
      <c r="G29">
        <f>G28+1</f>
        <v>2</v>
      </c>
      <c r="H29">
        <v>87</v>
      </c>
      <c r="I29">
        <f>0.4*H29+ (1-0.4)*(I28+J28)</f>
        <v>88.800000000000011</v>
      </c>
      <c r="J29">
        <f>0.4*(I29-I28)+ (1-0.4)*J28</f>
        <v>-0.47999999999999549</v>
      </c>
      <c r="K29">
        <f>I28+J28*1</f>
        <v>90</v>
      </c>
    </row>
    <row r="30" spans="1:20" x14ac:dyDescent="0.2">
      <c r="C30">
        <f t="shared" ref="C30:C36" si="3">C29+1</f>
        <v>3</v>
      </c>
      <c r="D30">
        <f t="shared" si="2"/>
        <v>86.011111111111106</v>
      </c>
      <c r="G30">
        <f t="shared" ref="G30:G35" si="4">G29+1</f>
        <v>3</v>
      </c>
      <c r="H30">
        <v>85</v>
      </c>
      <c r="I30">
        <f t="shared" ref="I30:I36" si="5">0.4*H30+ (1-0.4)*(I29+J29)</f>
        <v>86.992000000000019</v>
      </c>
      <c r="J30">
        <f t="shared" ref="J30:J36" si="6">0.4*(I30-I29)+ (1-0.4)*J29</f>
        <v>-1.0111999999999943</v>
      </c>
      <c r="K30">
        <f>$I29+$J29*1</f>
        <v>88.320000000000022</v>
      </c>
    </row>
    <row r="31" spans="1:20" x14ac:dyDescent="0.2">
      <c r="C31">
        <f t="shared" si="3"/>
        <v>4</v>
      </c>
      <c r="D31">
        <f t="shared" si="2"/>
        <v>84.394444444444431</v>
      </c>
      <c r="G31">
        <f t="shared" si="4"/>
        <v>4</v>
      </c>
      <c r="H31">
        <v>86</v>
      </c>
      <c r="I31">
        <f>0.4*H31+ (1-0.4)*(I30+J30)</f>
        <v>85.98848000000001</v>
      </c>
      <c r="J31">
        <f t="shared" si="6"/>
        <v>-1.0081280000000001</v>
      </c>
      <c r="K31">
        <f t="shared" ref="K31:K36" si="7">$I30+$J30*1</f>
        <v>85.980800000000031</v>
      </c>
    </row>
    <row r="32" spans="1:20" x14ac:dyDescent="0.2">
      <c r="C32">
        <f t="shared" si="3"/>
        <v>5</v>
      </c>
      <c r="D32">
        <f t="shared" si="2"/>
        <v>82.777777777777771</v>
      </c>
      <c r="G32">
        <f t="shared" si="4"/>
        <v>5</v>
      </c>
      <c r="H32">
        <v>82</v>
      </c>
      <c r="I32">
        <f>0.4*H32+ (1-0.4)*(I31+J31)</f>
        <v>83.788211200000006</v>
      </c>
      <c r="J32">
        <f>0.4*(I32-I31)+ (1-0.4)*J31</f>
        <v>-1.4849843200000015</v>
      </c>
      <c r="K32">
        <f t="shared" si="7"/>
        <v>84.980352000000011</v>
      </c>
    </row>
    <row r="33" spans="3:11" x14ac:dyDescent="0.2">
      <c r="C33">
        <f t="shared" si="3"/>
        <v>6</v>
      </c>
      <c r="D33">
        <f t="shared" si="2"/>
        <v>81.161111111111097</v>
      </c>
      <c r="G33">
        <f t="shared" si="4"/>
        <v>6</v>
      </c>
      <c r="H33">
        <v>80</v>
      </c>
      <c r="I33">
        <f t="shared" si="5"/>
        <v>81.381936128000007</v>
      </c>
      <c r="J33">
        <f t="shared" si="6"/>
        <v>-1.8535006208000007</v>
      </c>
      <c r="K33">
        <f t="shared" si="7"/>
        <v>82.303226880000011</v>
      </c>
    </row>
    <row r="34" spans="3:11" x14ac:dyDescent="0.2">
      <c r="C34">
        <f t="shared" si="3"/>
        <v>7</v>
      </c>
      <c r="D34">
        <f t="shared" si="2"/>
        <v>79.544444444444437</v>
      </c>
      <c r="G34">
        <f t="shared" si="4"/>
        <v>7</v>
      </c>
      <c r="H34">
        <v>81</v>
      </c>
      <c r="I34">
        <f t="shared" si="5"/>
        <v>80.117061304320004</v>
      </c>
      <c r="J34">
        <f t="shared" si="6"/>
        <v>-1.6180503019520014</v>
      </c>
      <c r="K34">
        <f t="shared" si="7"/>
        <v>79.528435507200001</v>
      </c>
    </row>
    <row r="35" spans="3:11" x14ac:dyDescent="0.2">
      <c r="C35">
        <f t="shared" si="3"/>
        <v>8</v>
      </c>
      <c r="D35">
        <f t="shared" si="2"/>
        <v>77.927777777777763</v>
      </c>
      <c r="G35">
        <f t="shared" si="4"/>
        <v>8</v>
      </c>
      <c r="H35">
        <v>78</v>
      </c>
      <c r="I35">
        <f t="shared" si="5"/>
        <v>78.299406601420799</v>
      </c>
      <c r="J35">
        <f t="shared" si="6"/>
        <v>-1.6978920623308826</v>
      </c>
      <c r="K35">
        <f t="shared" si="7"/>
        <v>78.499011002368007</v>
      </c>
    </row>
    <row r="36" spans="3:11" x14ac:dyDescent="0.2">
      <c r="C36">
        <f t="shared" si="3"/>
        <v>9</v>
      </c>
      <c r="D36">
        <f t="shared" si="2"/>
        <v>76.311111111111103</v>
      </c>
      <c r="G36">
        <f>G35+1</f>
        <v>9</v>
      </c>
      <c r="H36">
        <v>76</v>
      </c>
      <c r="I36">
        <f t="shared" si="5"/>
        <v>76.360908723453946</v>
      </c>
      <c r="J36">
        <f t="shared" si="6"/>
        <v>-1.7941343885852707</v>
      </c>
      <c r="K36">
        <f t="shared" si="7"/>
        <v>76.601514539089919</v>
      </c>
    </row>
  </sheetData>
  <mergeCells count="2">
    <mergeCell ref="M14:N14"/>
    <mergeCell ref="O19:T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e314</dc:creator>
  <cp:lastModifiedBy>e314</cp:lastModifiedBy>
  <dcterms:created xsi:type="dcterms:W3CDTF">2025-10-17T19:51:20Z</dcterms:created>
  <dcterms:modified xsi:type="dcterms:W3CDTF">2025-11-26T06:07:49Z</dcterms:modified>
</cp:coreProperties>
</file>