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sh\Desktop\"/>
    </mc:Choice>
  </mc:AlternateContent>
  <xr:revisionPtr revIDLastSave="0" documentId="13_ncr:1_{B5DCC0FB-80C9-4B99-A4F4-CC12F1A9AD79}" xr6:coauthVersionLast="47" xr6:coauthVersionMax="47" xr10:uidLastSave="{00000000-0000-0000-0000-000000000000}"/>
  <bookViews>
    <workbookView xWindow="-120" yWindow="-120" windowWidth="29040" windowHeight="15840" activeTab="2" xr2:uid="{8E243285-322B-4D2C-AE4F-CD3F1500E025}"/>
  </bookViews>
  <sheets>
    <sheet name="Задание 1" sheetId="1" r:id="rId1"/>
    <sheet name="Задание 2(1)" sheetId="2" r:id="rId2"/>
    <sheet name="Задание 2(2)" sheetId="3" r:id="rId3"/>
  </sheets>
  <definedNames>
    <definedName name="solver_adj" localSheetId="1" hidden="1">'Задание 2(1)'!$B$28:$D$28</definedName>
    <definedName name="solver_adj" localSheetId="2" hidden="1">'Задание 2(2)'!$B$18:$D$18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'Задание 2(1)'!$B$28:$D$28</definedName>
    <definedName name="solver_lhs1" localSheetId="2" hidden="1">'Задание 2(2)'!$B$18:$D$18</definedName>
    <definedName name="solver_lhs2" localSheetId="1" hidden="1">'Задание 2(1)'!$E$21</definedName>
    <definedName name="solver_lhs2" localSheetId="2" hidden="1">'Задание 2(2)'!$E$18</definedName>
    <definedName name="solver_lhs3" localSheetId="1" hidden="1">'Задание 2(1)'!$E$28</definedName>
    <definedName name="solver_lhs3" localSheetId="2" hidden="1">'Задание 2(2)'!$F$10</definedName>
    <definedName name="solver_lhs4" localSheetId="1" hidden="1">'Задание 2(1)'!$F$20</definedName>
    <definedName name="solver_lhs4" localSheetId="2" hidden="1">'Задание 2(2)'!$F$11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4</definedName>
    <definedName name="solver_num" localSheetId="2" hidden="1">4</definedName>
    <definedName name="solver_nwt" localSheetId="1" hidden="1">1</definedName>
    <definedName name="solver_nwt" localSheetId="2" hidden="1">1</definedName>
    <definedName name="solver_opt" localSheetId="1" hidden="1">'Задание 2(1)'!$H$20</definedName>
    <definedName name="solver_opt" localSheetId="2" hidden="1">'Задание 2(2)'!$E$19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4</definedName>
    <definedName name="solver_rel1" localSheetId="2" hidden="1">4</definedName>
    <definedName name="solver_rel2" localSheetId="1" hidden="1">1</definedName>
    <definedName name="solver_rel2" localSheetId="2" hidden="1">1</definedName>
    <definedName name="solver_rel3" localSheetId="1" hidden="1">1</definedName>
    <definedName name="solver_rel3" localSheetId="2" hidden="1">3</definedName>
    <definedName name="solver_rel4" localSheetId="1" hidden="1">3</definedName>
    <definedName name="solver_rel4" localSheetId="2" hidden="1">3</definedName>
    <definedName name="solver_rhs1" localSheetId="1" hidden="1">"целое"</definedName>
    <definedName name="solver_rhs1" localSheetId="2" hidden="1">"целое"</definedName>
    <definedName name="solver_rhs2" localSheetId="1" hidden="1">'Задание 2(1)'!$F$21</definedName>
    <definedName name="solver_rhs2" localSheetId="2" hidden="1">300</definedName>
    <definedName name="solver_rhs3" localSheetId="1" hidden="1">300</definedName>
    <definedName name="solver_rhs3" localSheetId="2" hidden="1">'Задание 2(2)'!$E$10</definedName>
    <definedName name="solver_rhs4" localSheetId="1" hidden="1">'Задание 2(1)'!$E$20</definedName>
    <definedName name="solver_rhs4" localSheetId="2" hidden="1">'Задание 2(2)'!$E$11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2</definedName>
    <definedName name="solver_val" localSheetId="1" hidden="1">1800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3" l="1"/>
  <c r="D21" i="3"/>
  <c r="B21" i="3"/>
  <c r="C31" i="2"/>
  <c r="D31" i="2"/>
  <c r="B31" i="2"/>
  <c r="C29" i="2"/>
  <c r="D29" i="2"/>
  <c r="B29" i="2"/>
  <c r="C19" i="3"/>
  <c r="D19" i="3"/>
  <c r="B19" i="3"/>
  <c r="D13" i="3"/>
  <c r="D14" i="3" s="1"/>
  <c r="C13" i="3"/>
  <c r="C14" i="3" s="1"/>
  <c r="B13" i="3"/>
  <c r="B14" i="3" s="1"/>
  <c r="E18" i="3"/>
  <c r="D12" i="3"/>
  <c r="C12" i="3"/>
  <c r="B12" i="3"/>
  <c r="F11" i="3"/>
  <c r="G11" i="3" s="1"/>
  <c r="F10" i="3"/>
  <c r="G10" i="3" s="1"/>
  <c r="E28" i="2"/>
  <c r="F21" i="2"/>
  <c r="G21" i="2" s="1"/>
  <c r="F20" i="2"/>
  <c r="G20" i="2" s="1"/>
  <c r="C24" i="2"/>
  <c r="D24" i="2"/>
  <c r="B24" i="2"/>
  <c r="C23" i="2"/>
  <c r="D23" i="2"/>
  <c r="B23" i="2"/>
  <c r="D22" i="2"/>
  <c r="C22" i="2"/>
  <c r="B22" i="2"/>
  <c r="J17" i="1"/>
  <c r="J16" i="1"/>
  <c r="J15" i="1"/>
  <c r="J27" i="1" s="1"/>
  <c r="J14" i="1"/>
  <c r="J13" i="1"/>
  <c r="J12" i="1"/>
  <c r="I17" i="1"/>
  <c r="I16" i="1"/>
  <c r="I15" i="1"/>
  <c r="I14" i="1"/>
  <c r="I26" i="1" s="1"/>
  <c r="I13" i="1"/>
  <c r="J24" i="1"/>
  <c r="I28" i="1"/>
  <c r="I27" i="1"/>
  <c r="I25" i="1"/>
  <c r="I29" i="1"/>
  <c r="I12" i="1"/>
  <c r="C12" i="1"/>
  <c r="D12" i="1"/>
  <c r="E12" i="1"/>
  <c r="F12" i="1"/>
  <c r="F24" i="1" s="1"/>
  <c r="G12" i="1"/>
  <c r="H12" i="1"/>
  <c r="H24" i="1" s="1"/>
  <c r="C13" i="1"/>
  <c r="C25" i="1" s="1"/>
  <c r="D13" i="1"/>
  <c r="D25" i="1" s="1"/>
  <c r="E13" i="1"/>
  <c r="F13" i="1"/>
  <c r="F25" i="1" s="1"/>
  <c r="G13" i="1"/>
  <c r="G25" i="1" s="1"/>
  <c r="H13" i="1"/>
  <c r="H25" i="1" s="1"/>
  <c r="C14" i="1"/>
  <c r="D14" i="1"/>
  <c r="E14" i="1"/>
  <c r="F14" i="1"/>
  <c r="F26" i="1" s="1"/>
  <c r="G14" i="1"/>
  <c r="H14" i="1"/>
  <c r="H26" i="1" s="1"/>
  <c r="C15" i="1"/>
  <c r="D15" i="1"/>
  <c r="D27" i="1" s="1"/>
  <c r="E15" i="1"/>
  <c r="E27" i="1" s="1"/>
  <c r="F15" i="1"/>
  <c r="F27" i="1" s="1"/>
  <c r="G15" i="1"/>
  <c r="G27" i="1" s="1"/>
  <c r="H15" i="1"/>
  <c r="H27" i="1" s="1"/>
  <c r="C16" i="1"/>
  <c r="D16" i="1"/>
  <c r="E16" i="1"/>
  <c r="F16" i="1"/>
  <c r="G16" i="1"/>
  <c r="H16" i="1"/>
  <c r="C17" i="1"/>
  <c r="C29" i="1" s="1"/>
  <c r="D17" i="1"/>
  <c r="D29" i="1" s="1"/>
  <c r="E17" i="1"/>
  <c r="E29" i="1" s="1"/>
  <c r="F17" i="1"/>
  <c r="F29" i="1" s="1"/>
  <c r="G17" i="1"/>
  <c r="G29" i="1" s="1"/>
  <c r="H17" i="1"/>
  <c r="H29" i="1" s="1"/>
  <c r="C28" i="1"/>
  <c r="G24" i="1"/>
  <c r="D26" i="1"/>
  <c r="E26" i="1"/>
  <c r="G26" i="1"/>
  <c r="D28" i="1"/>
  <c r="E28" i="1"/>
  <c r="F28" i="1"/>
  <c r="G28" i="1"/>
  <c r="C27" i="1"/>
  <c r="B13" i="1"/>
  <c r="B14" i="1"/>
  <c r="B15" i="1"/>
  <c r="B16" i="1"/>
  <c r="B17" i="1"/>
  <c r="B12" i="1"/>
  <c r="C20" i="1"/>
  <c r="D20" i="1"/>
  <c r="E20" i="1"/>
  <c r="F20" i="1"/>
  <c r="G20" i="1"/>
  <c r="H20" i="1"/>
  <c r="I20" i="1"/>
  <c r="J20" i="1"/>
  <c r="C21" i="1"/>
  <c r="D21" i="1"/>
  <c r="E21" i="1"/>
  <c r="F21" i="1"/>
  <c r="G21" i="1"/>
  <c r="H21" i="1"/>
  <c r="I21" i="1"/>
  <c r="J21" i="1"/>
  <c r="B21" i="1"/>
  <c r="B20" i="1"/>
  <c r="E25" i="1"/>
  <c r="J25" i="1"/>
  <c r="C26" i="1"/>
  <c r="J26" i="1"/>
  <c r="H28" i="1"/>
  <c r="J28" i="1"/>
  <c r="J29" i="1"/>
  <c r="B25" i="1"/>
  <c r="B26" i="1"/>
  <c r="B27" i="1"/>
  <c r="B28" i="1"/>
  <c r="B29" i="1"/>
  <c r="B24" i="1"/>
  <c r="C24" i="1"/>
  <c r="D24" i="1"/>
  <c r="E24" i="1"/>
  <c r="I24" i="1"/>
  <c r="E29" i="2" l="1"/>
  <c r="E31" i="2"/>
  <c r="F22" i="2"/>
  <c r="E19" i="3"/>
  <c r="H10" i="3"/>
  <c r="H20" i="2"/>
  <c r="K29" i="1"/>
  <c r="K26" i="1"/>
  <c r="K25" i="1"/>
  <c r="K28" i="1"/>
  <c r="K27" i="1"/>
  <c r="K24" i="1"/>
</calcChain>
</file>

<file path=xl/sharedStrings.xml><?xml version="1.0" encoding="utf-8"?>
<sst xmlns="http://schemas.openxmlformats.org/spreadsheetml/2006/main" count="109" uniqueCount="58">
  <si>
    <t>Совокупные активы,
 ден. Ед.</t>
  </si>
  <si>
    <t>Страховая компа-
ния</t>
  </si>
  <si>
    <t>Место по количеству
 дочерних и региональ
ных отделений, №</t>
  </si>
  <si>
    <t>Прирост совокупных
 активов за предыдущий
 год, %</t>
  </si>
  <si>
    <t>Страховые резервы, ден.
 Ед.</t>
  </si>
  <si>
    <t>Уставной капитал на
 01.01.10, ден. ед.</t>
  </si>
  <si>
    <t>Уставной капитал на
 01.01.09, ден. ед.</t>
  </si>
  <si>
    <t>Свободные активы, ден.
 ед.</t>
  </si>
  <si>
    <t>Чистая прибыль,
 ден. ед.</t>
  </si>
  <si>
    <t>Рейтинг по взносам,
 усл. ед.</t>
  </si>
  <si>
    <t>Промышленная СК</t>
  </si>
  <si>
    <t>Группа «Альфа Страхование»</t>
  </si>
  <si>
    <t>СК «РОСНО»</t>
  </si>
  <si>
    <t>СК «Лига»</t>
  </si>
  <si>
    <t>СК «Якорь»</t>
  </si>
  <si>
    <t>«Национальная страховая группа»</t>
  </si>
  <si>
    <t>Весовой коэффициент</t>
  </si>
  <si>
    <t>min</t>
  </si>
  <si>
    <t>max</t>
  </si>
  <si>
    <t>ИТОГ</t>
  </si>
  <si>
    <t>ИСХОДНАЯ МАТРИЦА</t>
  </si>
  <si>
    <t>НОРМАЛИЗОВАННАЯ МАТРИЦА</t>
  </si>
  <si>
    <t>ОЦЕНКА</t>
  </si>
  <si>
    <t>в</t>
  </si>
  <si>
    <t>Ограничения</t>
  </si>
  <si>
    <t>&gt;=100</t>
  </si>
  <si>
    <t>&gt;=200</t>
  </si>
  <si>
    <t>Прибыль</t>
  </si>
  <si>
    <t>Для досок 1,4 м</t>
  </si>
  <si>
    <t>быть получено не менее 100 шт., заготовок длиной 0,6 – не менее 200 шт. Прибыль, получаемая от одной заготовки первого типа, равна 12 денежных единиц</t>
  </si>
  <si>
    <t>(д.е.), от заготовки второго типа - 4 д.е. Сформулируйте задачу линейного программирования и, решив ее, определите, как распилить доски, чтобы получить максимальную прибыль.</t>
  </si>
  <si>
    <t>Для досок 0,6 м</t>
  </si>
  <si>
    <t>&lt;=300</t>
  </si>
  <si>
    <t>Длина</t>
  </si>
  <si>
    <t>Варианты распила</t>
  </si>
  <si>
    <t>Общее количество досок</t>
  </si>
  <si>
    <t>Колество распилов</t>
  </si>
  <si>
    <t>Распилено, м</t>
  </si>
  <si>
    <t>Остаток, м</t>
  </si>
  <si>
    <t>Количество досок для распила</t>
  </si>
  <si>
    <t>x1</t>
  </si>
  <si>
    <t>x2</t>
  </si>
  <si>
    <t>x3</t>
  </si>
  <si>
    <t>Целевая функция</t>
  </si>
  <si>
    <t>2*x1 + x2 &gt;=100</t>
  </si>
  <si>
    <t>2*x2 + 5*x3&gt;=200</t>
  </si>
  <si>
    <t>Получилось</t>
  </si>
  <si>
    <t>(2*x1 + x2)*12 + (2*x2 + 5*x3)*4) -&gt; max</t>
  </si>
  <si>
    <t>Общее</t>
  </si>
  <si>
    <t>Остатки</t>
  </si>
  <si>
    <t>Всего распила</t>
  </si>
  <si>
    <r>
      <t xml:space="preserve">x1, x2, x3 </t>
    </r>
    <r>
      <rPr>
        <sz val="12"/>
        <color theme="1"/>
        <rFont val="Calibri"/>
        <family val="2"/>
        <charset val="204"/>
        <scheme val="minor"/>
      </rPr>
      <t>∊</t>
    </r>
    <r>
      <rPr>
        <sz val="11"/>
        <color theme="1"/>
        <rFont val="Calibri"/>
        <family val="2"/>
        <charset val="204"/>
        <scheme val="minor"/>
      </rPr>
      <t xml:space="preserve"> N</t>
    </r>
  </si>
  <si>
    <t>x1 + x2 +x3 &lt;= 300</t>
  </si>
  <si>
    <t>На пилораме имеется 300 досок длиной 3 м. Их необходимо распилить на заготовки длиной 1,4 м и 0,6 м. Заготовок длиной 1,4 м должно</t>
  </si>
  <si>
    <t>Отходы</t>
  </si>
  <si>
    <t>2000(min)</t>
  </si>
  <si>
    <t>7040(max)</t>
  </si>
  <si>
    <t>0,2*x1 + 0,4*x2 + 0*x3&lt;=10 - ограничение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</si>
</sst>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textRotation="90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textRotation="90" wrapText="1"/>
    </xf>
    <xf numFmtId="0" fontId="0" fillId="0" borderId="3" xfId="0" applyBorder="1" applyAlignment="1">
      <alignment horizontal="center" textRotation="90" wrapText="1"/>
    </xf>
    <xf numFmtId="0" fontId="0" fillId="0" borderId="0" xfId="0" applyAlignment="1">
      <alignment textRotation="90" wrapText="1"/>
    </xf>
    <xf numFmtId="0" fontId="0" fillId="2" borderId="8" xfId="0" applyFill="1" applyBorder="1"/>
    <xf numFmtId="0" fontId="0" fillId="2" borderId="9" xfId="0" applyFill="1" applyBorder="1"/>
    <xf numFmtId="2" fontId="0" fillId="0" borderId="0" xfId="0" applyNumberFormat="1"/>
    <xf numFmtId="0" fontId="0" fillId="0" borderId="10" xfId="0" applyBorder="1" applyAlignment="1">
      <alignment textRotation="90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47625</xdr:rowOff>
    </xdr:from>
    <xdr:to>
      <xdr:col>5</xdr:col>
      <xdr:colOff>592455</xdr:colOff>
      <xdr:row>47</xdr:row>
      <xdr:rowOff>44445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AFCD7EE-F20A-3238-C5B7-2135F1607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77300"/>
          <a:ext cx="5114925" cy="3044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419099</xdr:colOff>
      <xdr:row>6</xdr:row>
      <xdr:rowOff>135209</xdr:rowOff>
    </xdr:from>
    <xdr:to>
      <xdr:col>6</xdr:col>
      <xdr:colOff>9524</xdr:colOff>
      <xdr:row>12</xdr:row>
      <xdr:rowOff>0</xdr:rowOff>
    </xdr:to>
    <xdr:pic>
      <xdr:nvPicPr>
        <xdr:cNvPr id="2" name="Рисунок 1" descr="Пнг Фигурная скобка 10 фото">
          <a:extLst>
            <a:ext uri="{FF2B5EF4-FFF2-40B4-BE49-F238E27FC236}">
              <a16:creationId xmlns:a16="http://schemas.microsoft.com/office/drawing/2014/main" id="{7D8E4128-4276-6DF0-FB35-6506AADC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399" y="1278209"/>
          <a:ext cx="333375" cy="1017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285749</xdr:colOff>
      <xdr:row>3</xdr:row>
      <xdr:rowOff>154259</xdr:rowOff>
    </xdr:from>
    <xdr:to>
      <xdr:col>12</xdr:col>
      <xdr:colOff>9524</xdr:colOff>
      <xdr:row>10</xdr:row>
      <xdr:rowOff>47625</xdr:rowOff>
    </xdr:to>
    <xdr:pic>
      <xdr:nvPicPr>
        <xdr:cNvPr id="2" name="Рисунок 1" descr="Пнг Фигурная скобка 10 фото">
          <a:extLst>
            <a:ext uri="{FF2B5EF4-FFF2-40B4-BE49-F238E27FC236}">
              <a16:creationId xmlns:a16="http://schemas.microsoft.com/office/drawing/2014/main" id="{F797AC98-3C11-4138-BBCB-E7E7EF4E9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49" y="725759"/>
          <a:ext cx="333375" cy="1236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A5C7-3CB2-4B98-892D-5B28A8170FD2}">
  <dimension ref="A1:L43"/>
  <sheetViews>
    <sheetView topLeftCell="A8" workbookViewId="0">
      <selection activeCell="B26" sqref="B26"/>
    </sheetView>
  </sheetViews>
  <sheetFormatPr defaultRowHeight="15" x14ac:dyDescent="0.25"/>
  <cols>
    <col min="1" max="1" width="31.28515625" bestFit="1" customWidth="1"/>
    <col min="11" max="11" width="11.5703125" bestFit="1" customWidth="1"/>
  </cols>
  <sheetData>
    <row r="1" spans="1:11" ht="129" x14ac:dyDescent="0.25">
      <c r="A1" s="6" t="s">
        <v>1</v>
      </c>
      <c r="B1" s="5" t="s">
        <v>0</v>
      </c>
      <c r="C1" s="5" t="s">
        <v>3</v>
      </c>
      <c r="D1" s="8" t="s">
        <v>4</v>
      </c>
      <c r="E1" s="5" t="s">
        <v>5</v>
      </c>
      <c r="F1" s="5" t="s">
        <v>6</v>
      </c>
      <c r="G1" s="5" t="s">
        <v>7</v>
      </c>
      <c r="H1" s="9" t="s">
        <v>8</v>
      </c>
      <c r="I1" s="9" t="s">
        <v>9</v>
      </c>
      <c r="J1" s="7" t="s">
        <v>2</v>
      </c>
      <c r="K1" s="22" t="s">
        <v>20</v>
      </c>
    </row>
    <row r="2" spans="1:11" x14ac:dyDescent="0.25">
      <c r="A2" s="2" t="s">
        <v>10</v>
      </c>
      <c r="B2" s="1">
        <v>12000000</v>
      </c>
      <c r="C2" s="1">
        <v>61</v>
      </c>
      <c r="D2" s="1">
        <v>830000</v>
      </c>
      <c r="E2" s="1">
        <v>500000</v>
      </c>
      <c r="F2" s="1">
        <v>500000</v>
      </c>
      <c r="G2" s="1">
        <v>490000</v>
      </c>
      <c r="H2" s="1">
        <v>3000</v>
      </c>
      <c r="I2" s="1">
        <v>1</v>
      </c>
      <c r="J2" s="3">
        <v>2</v>
      </c>
      <c r="K2" s="22"/>
    </row>
    <row r="3" spans="1:11" x14ac:dyDescent="0.25">
      <c r="A3" s="2" t="s">
        <v>11</v>
      </c>
      <c r="B3" s="1">
        <v>10268700</v>
      </c>
      <c r="C3" s="1">
        <v>119.3</v>
      </c>
      <c r="D3" s="1">
        <v>1321000</v>
      </c>
      <c r="E3" s="1">
        <v>950000</v>
      </c>
      <c r="F3" s="1">
        <v>50000</v>
      </c>
      <c r="G3" s="1">
        <v>500000</v>
      </c>
      <c r="H3" s="1">
        <v>3814</v>
      </c>
      <c r="I3" s="1">
        <v>2</v>
      </c>
      <c r="J3" s="3">
        <v>1</v>
      </c>
      <c r="K3" s="22"/>
    </row>
    <row r="4" spans="1:11" x14ac:dyDescent="0.25">
      <c r="A4" s="2" t="s">
        <v>12</v>
      </c>
      <c r="B4" s="1">
        <v>9000000</v>
      </c>
      <c r="C4" s="1">
        <v>226.2</v>
      </c>
      <c r="D4" s="1">
        <v>1876230</v>
      </c>
      <c r="E4" s="1">
        <v>432000</v>
      </c>
      <c r="F4" s="1">
        <v>324000</v>
      </c>
      <c r="G4" s="1">
        <v>980400</v>
      </c>
      <c r="H4" s="1">
        <v>250000</v>
      </c>
      <c r="I4" s="1">
        <v>3</v>
      </c>
      <c r="J4" s="3">
        <v>3</v>
      </c>
      <c r="K4" s="22"/>
    </row>
    <row r="5" spans="1:11" x14ac:dyDescent="0.25">
      <c r="A5" s="2" t="s">
        <v>13</v>
      </c>
      <c r="B5" s="1">
        <v>15000500</v>
      </c>
      <c r="C5" s="1">
        <v>135.5</v>
      </c>
      <c r="D5" s="1">
        <v>3111000</v>
      </c>
      <c r="E5" s="1">
        <v>750000</v>
      </c>
      <c r="F5" s="1">
        <v>300000</v>
      </c>
      <c r="G5" s="1">
        <v>331900</v>
      </c>
      <c r="H5" s="1">
        <v>320120</v>
      </c>
      <c r="I5" s="1">
        <v>4</v>
      </c>
      <c r="J5" s="3">
        <v>6</v>
      </c>
      <c r="K5" s="22"/>
    </row>
    <row r="6" spans="1:11" x14ac:dyDescent="0.25">
      <c r="A6" s="2" t="s">
        <v>14</v>
      </c>
      <c r="B6" s="1">
        <v>1050400</v>
      </c>
      <c r="C6" s="1">
        <v>41.4</v>
      </c>
      <c r="D6" s="1">
        <v>650000</v>
      </c>
      <c r="E6" s="1">
        <v>80000</v>
      </c>
      <c r="F6" s="1">
        <v>80000</v>
      </c>
      <c r="G6" s="1">
        <v>81900</v>
      </c>
      <c r="H6" s="1">
        <v>2300</v>
      </c>
      <c r="I6" s="1">
        <v>5</v>
      </c>
      <c r="J6" s="3">
        <v>5</v>
      </c>
      <c r="K6" s="22"/>
    </row>
    <row r="7" spans="1:11" x14ac:dyDescent="0.25">
      <c r="A7" s="2" t="s">
        <v>15</v>
      </c>
      <c r="B7" s="1">
        <v>3050120</v>
      </c>
      <c r="C7" s="1">
        <v>163.69999999999999</v>
      </c>
      <c r="D7" s="1">
        <v>1150300</v>
      </c>
      <c r="E7" s="1">
        <v>485000</v>
      </c>
      <c r="F7" s="1">
        <v>165000</v>
      </c>
      <c r="G7" s="1">
        <v>483430</v>
      </c>
      <c r="H7" s="1">
        <v>1200</v>
      </c>
      <c r="I7" s="1">
        <v>6</v>
      </c>
      <c r="J7" s="3">
        <v>4</v>
      </c>
      <c r="K7" s="22"/>
    </row>
    <row r="8" spans="1:11" ht="15.75" thickBot="1" x14ac:dyDescent="0.3">
      <c r="A8" s="4" t="s">
        <v>16</v>
      </c>
      <c r="B8" s="10">
        <v>0.1</v>
      </c>
      <c r="C8" s="10">
        <v>0.1</v>
      </c>
      <c r="D8" s="10">
        <v>0.1</v>
      </c>
      <c r="E8" s="10">
        <v>0.05</v>
      </c>
      <c r="F8" s="10">
        <v>0.05</v>
      </c>
      <c r="G8" s="10">
        <v>0.2</v>
      </c>
      <c r="H8" s="10">
        <v>0.2</v>
      </c>
      <c r="I8" s="10">
        <v>0.1</v>
      </c>
      <c r="J8" s="11">
        <v>0.1</v>
      </c>
      <c r="K8" s="22"/>
    </row>
    <row r="10" spans="1:11" ht="15.75" thickBot="1" x14ac:dyDescent="0.3"/>
    <row r="11" spans="1:11" ht="129" x14ac:dyDescent="0.25">
      <c r="A11" s="6" t="s">
        <v>1</v>
      </c>
      <c r="B11" s="5" t="s">
        <v>0</v>
      </c>
      <c r="C11" s="5" t="s">
        <v>3</v>
      </c>
      <c r="D11" s="8" t="s">
        <v>4</v>
      </c>
      <c r="E11" s="5" t="s">
        <v>5</v>
      </c>
      <c r="F11" s="5" t="s">
        <v>6</v>
      </c>
      <c r="G11" s="5" t="s">
        <v>7</v>
      </c>
      <c r="H11" s="13" t="s">
        <v>8</v>
      </c>
      <c r="I11" s="9" t="s">
        <v>9</v>
      </c>
      <c r="J11" s="7" t="s">
        <v>2</v>
      </c>
      <c r="K11" s="23" t="s">
        <v>21</v>
      </c>
    </row>
    <row r="12" spans="1:11" x14ac:dyDescent="0.25">
      <c r="A12" s="2" t="s">
        <v>10</v>
      </c>
      <c r="B12" s="1">
        <f>(B2-B$21)/(B$20-B$21)</f>
        <v>0.78491193611515331</v>
      </c>
      <c r="C12" s="1">
        <f t="shared" ref="C12:H12" si="0">(C2-C$21)/(C$20-C$21)</f>
        <v>0.10606060606060608</v>
      </c>
      <c r="D12" s="1">
        <f t="shared" si="0"/>
        <v>7.3140999593661118E-2</v>
      </c>
      <c r="E12" s="1">
        <f t="shared" si="0"/>
        <v>0.48275862068965519</v>
      </c>
      <c r="F12" s="1">
        <f t="shared" si="0"/>
        <v>1</v>
      </c>
      <c r="G12" s="1">
        <f t="shared" si="0"/>
        <v>0.45420144685587088</v>
      </c>
      <c r="H12" s="1">
        <f t="shared" si="0"/>
        <v>5.6440486642418165E-3</v>
      </c>
      <c r="I12" s="1">
        <f>(I$20-I2)/(I$20-I$21)</f>
        <v>1</v>
      </c>
      <c r="J12" s="1">
        <f>(J$20-J2)/(J$20-J$21)</f>
        <v>0.8</v>
      </c>
      <c r="K12" s="24"/>
    </row>
    <row r="13" spans="1:11" x14ac:dyDescent="0.25">
      <c r="A13" s="2" t="s">
        <v>11</v>
      </c>
      <c r="B13" s="1">
        <f t="shared" ref="B13:B17" si="1">(B3-B$21)/(B$20-B$21)</f>
        <v>0.66080529888674633</v>
      </c>
      <c r="C13" s="1">
        <f t="shared" ref="C13:H13" si="2">(C3-C$21)/(C$20-C$21)</f>
        <v>0.4215367965367966</v>
      </c>
      <c r="D13" s="1">
        <f t="shared" si="2"/>
        <v>0.27265339292970336</v>
      </c>
      <c r="E13" s="1">
        <f t="shared" si="2"/>
        <v>1</v>
      </c>
      <c r="F13" s="1">
        <f t="shared" si="2"/>
        <v>0</v>
      </c>
      <c r="G13" s="1">
        <f t="shared" si="2"/>
        <v>0.46533110740122424</v>
      </c>
      <c r="H13" s="1">
        <f t="shared" si="2"/>
        <v>8.1964128935156158E-3</v>
      </c>
      <c r="I13" s="1">
        <f t="shared" ref="I13:J17" si="3">(I$20-I3)/(I$20-I$21)</f>
        <v>0.8</v>
      </c>
      <c r="J13" s="1">
        <f t="shared" si="3"/>
        <v>1</v>
      </c>
      <c r="K13" s="24"/>
    </row>
    <row r="14" spans="1:11" x14ac:dyDescent="0.25">
      <c r="A14" s="2" t="s">
        <v>12</v>
      </c>
      <c r="B14" s="1">
        <f t="shared" si="1"/>
        <v>0.56985971426728121</v>
      </c>
      <c r="C14" s="1">
        <f t="shared" ref="C14:H14" si="4">(C4-C$21)/(C$20-C$21)</f>
        <v>1</v>
      </c>
      <c r="D14" s="1">
        <f t="shared" si="4"/>
        <v>0.49826493295408369</v>
      </c>
      <c r="E14" s="1">
        <f t="shared" si="4"/>
        <v>0.40459770114942528</v>
      </c>
      <c r="F14" s="1">
        <f t="shared" si="4"/>
        <v>0.60888888888888892</v>
      </c>
      <c r="G14" s="1">
        <f t="shared" si="4"/>
        <v>1</v>
      </c>
      <c r="H14" s="1">
        <f t="shared" si="4"/>
        <v>0.78013294870186878</v>
      </c>
      <c r="I14" s="1">
        <f t="shared" si="3"/>
        <v>0.6</v>
      </c>
      <c r="J14" s="1">
        <f t="shared" si="3"/>
        <v>0.6</v>
      </c>
      <c r="K14" s="24"/>
    </row>
    <row r="15" spans="1:11" x14ac:dyDescent="0.25">
      <c r="A15" s="2" t="s">
        <v>13</v>
      </c>
      <c r="B15" s="1">
        <f t="shared" si="1"/>
        <v>1</v>
      </c>
      <c r="C15" s="1">
        <f t="shared" ref="C15:H15" si="5">(C5-C$21)/(C$20-C$21)</f>
        <v>0.50919913419913421</v>
      </c>
      <c r="D15" s="1">
        <f t="shared" si="5"/>
        <v>1</v>
      </c>
      <c r="E15" s="1">
        <f t="shared" si="5"/>
        <v>0.77011494252873558</v>
      </c>
      <c r="F15" s="1">
        <f t="shared" si="5"/>
        <v>0.55555555555555558</v>
      </c>
      <c r="G15" s="1">
        <f t="shared" si="5"/>
        <v>0.27824151363383415</v>
      </c>
      <c r="H15" s="1">
        <f t="shared" si="5"/>
        <v>1</v>
      </c>
      <c r="I15" s="1">
        <f t="shared" si="3"/>
        <v>0.4</v>
      </c>
      <c r="J15" s="1">
        <f t="shared" si="3"/>
        <v>0</v>
      </c>
      <c r="K15" s="24"/>
    </row>
    <row r="16" spans="1:11" x14ac:dyDescent="0.25">
      <c r="A16" s="2" t="s">
        <v>14</v>
      </c>
      <c r="B16" s="1">
        <f t="shared" si="1"/>
        <v>0</v>
      </c>
      <c r="C16" s="1">
        <f t="shared" ref="C16:H16" si="6">(C6-C$21)/(C$20-C$21)</f>
        <v>0</v>
      </c>
      <c r="D16" s="1">
        <f t="shared" si="6"/>
        <v>0</v>
      </c>
      <c r="E16" s="1">
        <f t="shared" si="6"/>
        <v>0</v>
      </c>
      <c r="F16" s="1">
        <f t="shared" si="6"/>
        <v>6.6666666666666666E-2</v>
      </c>
      <c r="G16" s="1">
        <f t="shared" si="6"/>
        <v>0</v>
      </c>
      <c r="H16" s="1">
        <f t="shared" si="6"/>
        <v>3.4491408503699987E-3</v>
      </c>
      <c r="I16" s="1">
        <f t="shared" si="3"/>
        <v>0.2</v>
      </c>
      <c r="J16" s="1">
        <f t="shared" si="3"/>
        <v>0.2</v>
      </c>
      <c r="K16" s="24"/>
    </row>
    <row r="17" spans="1:12" x14ac:dyDescent="0.25">
      <c r="A17" s="2" t="s">
        <v>15</v>
      </c>
      <c r="B17" s="1">
        <f t="shared" si="1"/>
        <v>0.14334807635787558</v>
      </c>
      <c r="C17" s="1">
        <f t="shared" ref="C17:H17" si="7">(C7-C$21)/(C$20-C$21)</f>
        <v>0.66179653679653672</v>
      </c>
      <c r="D17" s="1">
        <f t="shared" si="7"/>
        <v>0.20329134498171475</v>
      </c>
      <c r="E17" s="1">
        <f t="shared" si="7"/>
        <v>0.46551724137931033</v>
      </c>
      <c r="F17" s="1">
        <f t="shared" si="7"/>
        <v>0.25555555555555554</v>
      </c>
      <c r="G17" s="1">
        <f t="shared" si="7"/>
        <v>0.44688925987757372</v>
      </c>
      <c r="H17" s="1">
        <f t="shared" si="7"/>
        <v>0</v>
      </c>
      <c r="I17" s="1">
        <f t="shared" si="3"/>
        <v>0</v>
      </c>
      <c r="J17" s="1">
        <f t="shared" si="3"/>
        <v>0.4</v>
      </c>
      <c r="K17" s="24"/>
    </row>
    <row r="18" spans="1:12" ht="15.75" thickBot="1" x14ac:dyDescent="0.3">
      <c r="A18" s="4" t="s">
        <v>16</v>
      </c>
      <c r="B18" s="10">
        <v>0.1</v>
      </c>
      <c r="C18" s="10">
        <v>0.1</v>
      </c>
      <c r="D18" s="10">
        <v>0.1</v>
      </c>
      <c r="E18" s="10">
        <v>0.05</v>
      </c>
      <c r="F18" s="10">
        <v>0.05</v>
      </c>
      <c r="G18" s="10">
        <v>0.2</v>
      </c>
      <c r="H18" s="10">
        <v>0.2</v>
      </c>
      <c r="I18" s="10">
        <v>0.1</v>
      </c>
      <c r="J18" s="11">
        <v>0.1</v>
      </c>
      <c r="K18" s="24"/>
    </row>
    <row r="20" spans="1:12" x14ac:dyDescent="0.25">
      <c r="A20" t="s">
        <v>18</v>
      </c>
      <c r="B20">
        <f>MAX(B2:B7)</f>
        <v>15000500</v>
      </c>
      <c r="C20">
        <f t="shared" ref="C20:J20" si="8">MAX(C2:C7)</f>
        <v>226.2</v>
      </c>
      <c r="D20">
        <f t="shared" si="8"/>
        <v>3111000</v>
      </c>
      <c r="E20">
        <f t="shared" si="8"/>
        <v>950000</v>
      </c>
      <c r="F20">
        <f t="shared" si="8"/>
        <v>500000</v>
      </c>
      <c r="G20">
        <f t="shared" si="8"/>
        <v>980400</v>
      </c>
      <c r="H20">
        <f t="shared" si="8"/>
        <v>320120</v>
      </c>
      <c r="I20">
        <f t="shared" si="8"/>
        <v>6</v>
      </c>
      <c r="J20">
        <f t="shared" si="8"/>
        <v>6</v>
      </c>
    </row>
    <row r="21" spans="1:12" x14ac:dyDescent="0.25">
      <c r="A21" t="s">
        <v>17</v>
      </c>
      <c r="B21">
        <f>MIN(B2:B7)</f>
        <v>1050400</v>
      </c>
      <c r="C21">
        <f t="shared" ref="C21:J21" si="9">MIN(C2:C7)</f>
        <v>41.4</v>
      </c>
      <c r="D21">
        <f t="shared" si="9"/>
        <v>650000</v>
      </c>
      <c r="E21">
        <f t="shared" si="9"/>
        <v>80000</v>
      </c>
      <c r="F21">
        <f t="shared" si="9"/>
        <v>50000</v>
      </c>
      <c r="G21">
        <f t="shared" si="9"/>
        <v>81900</v>
      </c>
      <c r="H21">
        <f t="shared" si="9"/>
        <v>1200</v>
      </c>
      <c r="I21">
        <f t="shared" si="9"/>
        <v>1</v>
      </c>
      <c r="J21">
        <f t="shared" si="9"/>
        <v>1</v>
      </c>
    </row>
    <row r="23" spans="1:12" x14ac:dyDescent="0.25">
      <c r="K23" s="14" t="s">
        <v>19</v>
      </c>
    </row>
    <row r="24" spans="1:12" x14ac:dyDescent="0.25">
      <c r="B24">
        <f t="shared" ref="B24:B29" si="10">B12*B$18</f>
        <v>7.8491193611515339E-2</v>
      </c>
      <c r="C24">
        <f t="shared" ref="C24:J24" si="11">C12*C18</f>
        <v>1.0606060606060608E-2</v>
      </c>
      <c r="D24">
        <f t="shared" si="11"/>
        <v>7.3140999593661118E-3</v>
      </c>
      <c r="E24">
        <f t="shared" si="11"/>
        <v>2.4137931034482762E-2</v>
      </c>
      <c r="F24">
        <f t="shared" si="11"/>
        <v>0.05</v>
      </c>
      <c r="G24">
        <f t="shared" si="11"/>
        <v>9.0840289371174179E-2</v>
      </c>
      <c r="H24">
        <f t="shared" si="11"/>
        <v>1.1288097328483633E-3</v>
      </c>
      <c r="I24">
        <f t="shared" si="11"/>
        <v>0.1</v>
      </c>
      <c r="J24">
        <f t="shared" si="11"/>
        <v>8.0000000000000016E-2</v>
      </c>
      <c r="K24">
        <f>SUM(B24:J24)</f>
        <v>0.44251838431544738</v>
      </c>
      <c r="L24" s="23" t="s">
        <v>22</v>
      </c>
    </row>
    <row r="25" spans="1:12" x14ac:dyDescent="0.25">
      <c r="B25">
        <f t="shared" si="10"/>
        <v>6.6080529888674633E-2</v>
      </c>
      <c r="C25">
        <f t="shared" ref="C25:J29" si="12">C13*C$18</f>
        <v>4.2153679653679665E-2</v>
      </c>
      <c r="D25">
        <f t="shared" si="12"/>
        <v>2.7265339292970339E-2</v>
      </c>
      <c r="E25">
        <f t="shared" si="12"/>
        <v>0.05</v>
      </c>
      <c r="F25">
        <f t="shared" si="12"/>
        <v>0</v>
      </c>
      <c r="G25">
        <f t="shared" si="12"/>
        <v>9.3066221480244848E-2</v>
      </c>
      <c r="H25">
        <f t="shared" si="12"/>
        <v>1.6392825787031233E-3</v>
      </c>
      <c r="I25">
        <f t="shared" si="12"/>
        <v>8.0000000000000016E-2</v>
      </c>
      <c r="J25">
        <f t="shared" si="12"/>
        <v>0.1</v>
      </c>
      <c r="K25">
        <f t="shared" ref="K25:K29" si="13">SUM(B25:J25)</f>
        <v>0.4602050528942726</v>
      </c>
      <c r="L25" s="24"/>
    </row>
    <row r="26" spans="1:12" x14ac:dyDescent="0.25">
      <c r="B26">
        <f t="shared" si="10"/>
        <v>5.6985971426728121E-2</v>
      </c>
      <c r="C26">
        <f t="shared" si="12"/>
        <v>0.1</v>
      </c>
      <c r="D26">
        <f t="shared" si="12"/>
        <v>4.9826493295408371E-2</v>
      </c>
      <c r="E26">
        <f t="shared" si="12"/>
        <v>2.0229885057471267E-2</v>
      </c>
      <c r="F26">
        <f t="shared" si="12"/>
        <v>3.0444444444444448E-2</v>
      </c>
      <c r="G26">
        <f t="shared" si="12"/>
        <v>0.2</v>
      </c>
      <c r="H26">
        <f t="shared" si="12"/>
        <v>0.15602658974037376</v>
      </c>
      <c r="I26">
        <f t="shared" si="12"/>
        <v>0.06</v>
      </c>
      <c r="J26">
        <f t="shared" si="12"/>
        <v>0.06</v>
      </c>
      <c r="K26" s="15">
        <f t="shared" si="13"/>
        <v>0.73351338396442611</v>
      </c>
      <c r="L26" s="24"/>
    </row>
    <row r="27" spans="1:12" x14ac:dyDescent="0.25">
      <c r="B27">
        <f t="shared" si="10"/>
        <v>0.1</v>
      </c>
      <c r="C27">
        <f t="shared" si="12"/>
        <v>5.0919913419913421E-2</v>
      </c>
      <c r="D27">
        <f t="shared" si="12"/>
        <v>0.1</v>
      </c>
      <c r="E27">
        <f t="shared" si="12"/>
        <v>3.8505747126436785E-2</v>
      </c>
      <c r="F27">
        <f t="shared" si="12"/>
        <v>2.777777777777778E-2</v>
      </c>
      <c r="G27">
        <f t="shared" si="12"/>
        <v>5.5648302726766831E-2</v>
      </c>
      <c r="H27">
        <f t="shared" si="12"/>
        <v>0.2</v>
      </c>
      <c r="I27">
        <f t="shared" si="12"/>
        <v>4.0000000000000008E-2</v>
      </c>
      <c r="J27">
        <f t="shared" si="12"/>
        <v>0</v>
      </c>
      <c r="K27">
        <f t="shared" si="13"/>
        <v>0.6128517410508949</v>
      </c>
      <c r="L27" s="24"/>
    </row>
    <row r="28" spans="1:12" x14ac:dyDescent="0.25">
      <c r="B28">
        <f t="shared" si="10"/>
        <v>0</v>
      </c>
      <c r="C28">
        <f t="shared" si="12"/>
        <v>0</v>
      </c>
      <c r="D28">
        <f t="shared" si="12"/>
        <v>0</v>
      </c>
      <c r="E28">
        <f t="shared" si="12"/>
        <v>0</v>
      </c>
      <c r="F28">
        <f t="shared" si="12"/>
        <v>3.3333333333333335E-3</v>
      </c>
      <c r="G28">
        <f t="shared" si="12"/>
        <v>0</v>
      </c>
      <c r="H28">
        <f t="shared" si="12"/>
        <v>6.8982817007399977E-4</v>
      </c>
      <c r="I28">
        <f t="shared" si="12"/>
        <v>2.0000000000000004E-2</v>
      </c>
      <c r="J28">
        <f t="shared" si="12"/>
        <v>2.0000000000000004E-2</v>
      </c>
      <c r="K28" s="12">
        <f t="shared" si="13"/>
        <v>4.4023161503407342E-2</v>
      </c>
      <c r="L28" s="24"/>
    </row>
    <row r="29" spans="1:12" x14ac:dyDescent="0.25">
      <c r="B29">
        <f t="shared" si="10"/>
        <v>1.433480763578756E-2</v>
      </c>
      <c r="C29">
        <f t="shared" si="12"/>
        <v>6.6179653679653672E-2</v>
      </c>
      <c r="D29">
        <f t="shared" si="12"/>
        <v>2.0329134498171475E-2</v>
      </c>
      <c r="E29">
        <f t="shared" si="12"/>
        <v>2.3275862068965519E-2</v>
      </c>
      <c r="F29">
        <f t="shared" si="12"/>
        <v>1.2777777777777777E-2</v>
      </c>
      <c r="G29">
        <f t="shared" si="12"/>
        <v>8.9377851975514747E-2</v>
      </c>
      <c r="H29">
        <f t="shared" si="12"/>
        <v>0</v>
      </c>
      <c r="I29">
        <f t="shared" si="12"/>
        <v>0</v>
      </c>
      <c r="J29">
        <f t="shared" si="12"/>
        <v>4.0000000000000008E-2</v>
      </c>
      <c r="K29">
        <f t="shared" si="13"/>
        <v>0.26627508763587071</v>
      </c>
      <c r="L29" s="24"/>
    </row>
    <row r="43" spans="8:8" x14ac:dyDescent="0.25">
      <c r="H43" t="s">
        <v>23</v>
      </c>
    </row>
  </sheetData>
  <mergeCells count="3">
    <mergeCell ref="K1:K8"/>
    <mergeCell ref="K11:K18"/>
    <mergeCell ref="L24:L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0B23-678C-4244-92F8-40DADD48D1B7}">
  <dimension ref="A1:S31"/>
  <sheetViews>
    <sheetView workbookViewId="0">
      <selection activeCell="G26" sqref="G26"/>
    </sheetView>
  </sheetViews>
  <sheetFormatPr defaultRowHeight="15" x14ac:dyDescent="0.25"/>
  <cols>
    <col min="1" max="1" width="23" bestFit="1" customWidth="1"/>
    <col min="2" max="2" width="6" bestFit="1" customWidth="1"/>
    <col min="3" max="3" width="8.7109375" customWidth="1"/>
    <col min="4" max="4" width="8.85546875" customWidth="1"/>
    <col min="5" max="5" width="12.28515625" bestFit="1" customWidth="1"/>
    <col min="6" max="6" width="11.140625" bestFit="1" customWidth="1"/>
    <col min="7" max="8" width="16.28515625" bestFit="1" customWidth="1"/>
    <col min="12" max="12" width="10.140625" bestFit="1" customWidth="1"/>
    <col min="19" max="19" width="9.85546875" bestFit="1" customWidth="1"/>
  </cols>
  <sheetData>
    <row r="1" spans="1:17" x14ac:dyDescent="0.25">
      <c r="A1" s="28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16"/>
      <c r="O1" s="16"/>
      <c r="P1" s="16"/>
      <c r="Q1" s="16"/>
    </row>
    <row r="2" spans="1:17" x14ac:dyDescent="0.25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6"/>
      <c r="Q2" s="16"/>
    </row>
    <row r="3" spans="1:17" x14ac:dyDescent="0.25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7" spans="1:17" x14ac:dyDescent="0.25">
      <c r="G7" t="s">
        <v>43</v>
      </c>
    </row>
    <row r="8" spans="1:17" ht="15.75" x14ac:dyDescent="0.25">
      <c r="G8" s="20" t="s">
        <v>51</v>
      </c>
    </row>
    <row r="9" spans="1:17" x14ac:dyDescent="0.25">
      <c r="G9" t="s">
        <v>52</v>
      </c>
      <c r="I9" s="31"/>
      <c r="J9" s="31"/>
      <c r="K9" s="31"/>
      <c r="L9" s="31"/>
      <c r="M9" s="31"/>
    </row>
    <row r="10" spans="1:17" x14ac:dyDescent="0.25">
      <c r="G10" t="s">
        <v>44</v>
      </c>
    </row>
    <row r="11" spans="1:17" x14ac:dyDescent="0.25">
      <c r="G11" t="s">
        <v>45</v>
      </c>
    </row>
    <row r="12" spans="1:17" x14ac:dyDescent="0.25">
      <c r="A12" s="1" t="s">
        <v>24</v>
      </c>
      <c r="B12" s="1"/>
      <c r="C12" s="1" t="s">
        <v>27</v>
      </c>
      <c r="G12" s="28" t="s">
        <v>47</v>
      </c>
      <c r="H12" s="28"/>
      <c r="I12" s="28"/>
    </row>
    <row r="13" spans="1:17" x14ac:dyDescent="0.25">
      <c r="A13" s="1" t="s">
        <v>28</v>
      </c>
      <c r="B13" s="1" t="s">
        <v>25</v>
      </c>
      <c r="C13" s="1">
        <v>12</v>
      </c>
    </row>
    <row r="14" spans="1:17" x14ac:dyDescent="0.25">
      <c r="A14" s="1" t="s">
        <v>31</v>
      </c>
      <c r="B14" s="1" t="s">
        <v>26</v>
      </c>
      <c r="C14" s="1">
        <v>4</v>
      </c>
    </row>
    <row r="15" spans="1:17" x14ac:dyDescent="0.25">
      <c r="A15" s="1" t="s">
        <v>35</v>
      </c>
      <c r="B15" s="1" t="s">
        <v>32</v>
      </c>
      <c r="C15" s="1"/>
    </row>
    <row r="18" spans="1:19" x14ac:dyDescent="0.25">
      <c r="A18" s="29" t="s">
        <v>33</v>
      </c>
      <c r="B18" s="29" t="s">
        <v>34</v>
      </c>
      <c r="C18" s="29"/>
      <c r="D18" s="29"/>
      <c r="E18" s="26" t="s">
        <v>24</v>
      </c>
      <c r="F18" s="25" t="s">
        <v>46</v>
      </c>
      <c r="G18" s="25" t="s">
        <v>27</v>
      </c>
      <c r="H18" s="26" t="s">
        <v>43</v>
      </c>
      <c r="K18" s="1" t="s">
        <v>27</v>
      </c>
      <c r="L18" s="1" t="s">
        <v>56</v>
      </c>
      <c r="M18" s="1">
        <v>6800</v>
      </c>
      <c r="N18" s="1">
        <v>6500</v>
      </c>
      <c r="O18" s="1">
        <v>6000</v>
      </c>
      <c r="P18" s="1">
        <v>5000</v>
      </c>
      <c r="Q18" s="1">
        <v>4000</v>
      </c>
      <c r="R18" s="1">
        <v>3000</v>
      </c>
      <c r="S18" s="1" t="s">
        <v>55</v>
      </c>
    </row>
    <row r="19" spans="1:19" x14ac:dyDescent="0.25">
      <c r="A19" s="29"/>
      <c r="B19" s="17">
        <v>1</v>
      </c>
      <c r="C19" s="17">
        <v>2</v>
      </c>
      <c r="D19" s="17">
        <v>3</v>
      </c>
      <c r="E19" s="27"/>
      <c r="F19" s="25"/>
      <c r="G19" s="25"/>
      <c r="H19" s="27"/>
      <c r="K19" s="1" t="s">
        <v>54</v>
      </c>
      <c r="L19" s="1">
        <v>52</v>
      </c>
      <c r="M19" s="1">
        <v>49</v>
      </c>
      <c r="N19" s="1">
        <v>47</v>
      </c>
      <c r="O19" s="1">
        <v>43</v>
      </c>
      <c r="P19" s="1">
        <v>35</v>
      </c>
      <c r="Q19" s="1">
        <v>26</v>
      </c>
      <c r="R19" s="1">
        <v>18</v>
      </c>
      <c r="S19" s="1">
        <v>10</v>
      </c>
    </row>
    <row r="20" spans="1:19" x14ac:dyDescent="0.25">
      <c r="A20" s="18">
        <v>1.4</v>
      </c>
      <c r="B20" s="19">
        <v>2</v>
      </c>
      <c r="C20" s="19">
        <v>1</v>
      </c>
      <c r="D20" s="19">
        <v>0</v>
      </c>
      <c r="E20" s="19">
        <v>100</v>
      </c>
      <c r="F20" s="1">
        <f>SUMPRODUCT(B20:D20,B28:D28)</f>
        <v>520</v>
      </c>
      <c r="G20" s="1">
        <f>F20*C13</f>
        <v>6240</v>
      </c>
      <c r="H20" s="1">
        <f>SUM(G20:G21)</f>
        <v>7040</v>
      </c>
    </row>
    <row r="21" spans="1:19" x14ac:dyDescent="0.25">
      <c r="A21" s="18">
        <v>0.6</v>
      </c>
      <c r="B21" s="19">
        <v>0</v>
      </c>
      <c r="C21" s="19">
        <v>2</v>
      </c>
      <c r="D21" s="19">
        <v>5</v>
      </c>
      <c r="E21" s="19">
        <v>200</v>
      </c>
      <c r="F21" s="1">
        <f>SUMPRODUCT(B21:D21,B28:D28)</f>
        <v>200</v>
      </c>
      <c r="G21" s="1">
        <f>F21*C14</f>
        <v>800</v>
      </c>
      <c r="H21" s="1"/>
    </row>
    <row r="22" spans="1:19" x14ac:dyDescent="0.25">
      <c r="A22" s="1" t="s">
        <v>36</v>
      </c>
      <c r="B22" s="1">
        <f>SUM(B20:B21)</f>
        <v>2</v>
      </c>
      <c r="C22" s="1">
        <f>SUM(C20:C21)</f>
        <v>3</v>
      </c>
      <c r="D22" s="1">
        <f>SUM(D20:D21) - 1</f>
        <v>4</v>
      </c>
      <c r="F22">
        <f>SUM(F20:F21)</f>
        <v>720</v>
      </c>
    </row>
    <row r="23" spans="1:19" x14ac:dyDescent="0.25">
      <c r="A23" s="1" t="s">
        <v>37</v>
      </c>
      <c r="B23" s="1">
        <f>$A$20*B20+ $A$21*B21</f>
        <v>2.8</v>
      </c>
      <c r="C23" s="1">
        <f t="shared" ref="C23:D23" si="0">$A$20*C20+ $A$21*C21</f>
        <v>2.5999999999999996</v>
      </c>
      <c r="D23" s="1">
        <f t="shared" si="0"/>
        <v>3</v>
      </c>
    </row>
    <row r="24" spans="1:19" x14ac:dyDescent="0.25">
      <c r="A24" s="1" t="s">
        <v>38</v>
      </c>
      <c r="B24" s="1">
        <f>3-B23</f>
        <v>0.20000000000000018</v>
      </c>
      <c r="C24" s="1">
        <f t="shared" ref="C24:D24" si="1">3-C23</f>
        <v>0.40000000000000036</v>
      </c>
      <c r="D24" s="1">
        <f t="shared" si="1"/>
        <v>0</v>
      </c>
    </row>
    <row r="26" spans="1:19" x14ac:dyDescent="0.25">
      <c r="B26" s="30" t="s">
        <v>39</v>
      </c>
      <c r="C26" s="30"/>
      <c r="D26" s="30"/>
      <c r="E26" s="26" t="s">
        <v>48</v>
      </c>
    </row>
    <row r="27" spans="1:19" x14ac:dyDescent="0.25">
      <c r="B27" s="19" t="s">
        <v>40</v>
      </c>
      <c r="C27" s="19" t="s">
        <v>41</v>
      </c>
      <c r="D27" s="19" t="s">
        <v>42</v>
      </c>
      <c r="E27" s="27"/>
    </row>
    <row r="28" spans="1:19" x14ac:dyDescent="0.25">
      <c r="B28" s="1">
        <v>260</v>
      </c>
      <c r="C28" s="1">
        <v>0</v>
      </c>
      <c r="D28" s="1">
        <v>40</v>
      </c>
      <c r="E28" s="1">
        <f>SUM(B28:D28)</f>
        <v>300</v>
      </c>
    </row>
    <row r="29" spans="1:19" x14ac:dyDescent="0.25">
      <c r="A29" t="s">
        <v>49</v>
      </c>
      <c r="B29">
        <f>B24*B28</f>
        <v>52.000000000000043</v>
      </c>
      <c r="C29">
        <f t="shared" ref="C29:D29" si="2">C24*C28</f>
        <v>0</v>
      </c>
      <c r="D29">
        <f t="shared" si="2"/>
        <v>0</v>
      </c>
      <c r="E29">
        <f>SUM(B29:D29)</f>
        <v>52.000000000000043</v>
      </c>
    </row>
    <row r="31" spans="1:19" x14ac:dyDescent="0.25">
      <c r="A31" t="s">
        <v>50</v>
      </c>
      <c r="B31">
        <f>B28*B22</f>
        <v>520</v>
      </c>
      <c r="C31">
        <f t="shared" ref="C31:D31" si="3">C28*C22</f>
        <v>0</v>
      </c>
      <c r="D31">
        <f t="shared" si="3"/>
        <v>160</v>
      </c>
      <c r="E31">
        <f>SUM(B31:D31)</f>
        <v>680</v>
      </c>
    </row>
  </sheetData>
  <mergeCells count="13">
    <mergeCell ref="G18:G19"/>
    <mergeCell ref="E26:E27"/>
    <mergeCell ref="H18:H19"/>
    <mergeCell ref="A1:M1"/>
    <mergeCell ref="A2:O2"/>
    <mergeCell ref="A3:Q3"/>
    <mergeCell ref="B18:D18"/>
    <mergeCell ref="A18:A19"/>
    <mergeCell ref="G12:I12"/>
    <mergeCell ref="B26:D26"/>
    <mergeCell ref="E18:E19"/>
    <mergeCell ref="F18:F19"/>
    <mergeCell ref="I9:M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060A-F946-4F1F-AD91-02F9E3ADB562}">
  <dimension ref="A2:U21"/>
  <sheetViews>
    <sheetView tabSelected="1" workbookViewId="0">
      <selection activeCell="L20" sqref="L20"/>
    </sheetView>
  </sheetViews>
  <sheetFormatPr defaultRowHeight="15" x14ac:dyDescent="0.25"/>
  <cols>
    <col min="1" max="1" width="24.42578125" bestFit="1" customWidth="1"/>
    <col min="2" max="2" width="9" customWidth="1"/>
    <col min="3" max="3" width="9.28515625" bestFit="1" customWidth="1"/>
    <col min="4" max="4" width="4" bestFit="1" customWidth="1"/>
    <col min="5" max="5" width="13.140625" bestFit="1" customWidth="1"/>
    <col min="6" max="6" width="11.85546875" bestFit="1" customWidth="1"/>
    <col min="7" max="8" width="17.28515625" bestFit="1" customWidth="1"/>
    <col min="17" max="17" width="11.85546875" customWidth="1"/>
  </cols>
  <sheetData>
    <row r="2" spans="1:21" x14ac:dyDescent="0.25">
      <c r="A2" s="1" t="s">
        <v>24</v>
      </c>
      <c r="B2" s="1"/>
      <c r="C2" s="1" t="s">
        <v>27</v>
      </c>
    </row>
    <row r="3" spans="1:21" x14ac:dyDescent="0.25">
      <c r="A3" s="1" t="s">
        <v>28</v>
      </c>
      <c r="B3" s="1" t="s">
        <v>25</v>
      </c>
      <c r="C3" s="1">
        <v>12</v>
      </c>
    </row>
    <row r="4" spans="1:21" x14ac:dyDescent="0.25">
      <c r="A4" s="1" t="s">
        <v>31</v>
      </c>
      <c r="B4" s="1" t="s">
        <v>26</v>
      </c>
      <c r="C4" s="1">
        <v>4</v>
      </c>
      <c r="M4" t="s">
        <v>43</v>
      </c>
    </row>
    <row r="5" spans="1:21" ht="15.75" x14ac:dyDescent="0.25">
      <c r="A5" s="1" t="s">
        <v>35</v>
      </c>
      <c r="B5" s="1" t="s">
        <v>32</v>
      </c>
      <c r="C5" s="1"/>
      <c r="G5" s="28"/>
      <c r="H5" s="28"/>
      <c r="I5" s="28"/>
      <c r="M5" s="20" t="s">
        <v>51</v>
      </c>
    </row>
    <row r="6" spans="1:21" x14ac:dyDescent="0.25">
      <c r="M6" t="s">
        <v>52</v>
      </c>
      <c r="O6" s="21"/>
      <c r="P6" s="21"/>
      <c r="Q6" s="21"/>
      <c r="R6" s="21"/>
      <c r="S6" s="21"/>
    </row>
    <row r="7" spans="1:21" x14ac:dyDescent="0.25">
      <c r="M7" t="s">
        <v>44</v>
      </c>
      <c r="Q7" s="21"/>
      <c r="R7" s="21"/>
      <c r="S7" s="21"/>
      <c r="T7" s="21"/>
      <c r="U7" s="21"/>
    </row>
    <row r="8" spans="1:21" x14ac:dyDescent="0.25">
      <c r="A8" s="29" t="s">
        <v>33</v>
      </c>
      <c r="B8" s="29" t="s">
        <v>34</v>
      </c>
      <c r="C8" s="29"/>
      <c r="D8" s="29"/>
      <c r="E8" s="26" t="s">
        <v>24</v>
      </c>
      <c r="F8" s="25" t="s">
        <v>46</v>
      </c>
      <c r="G8" s="25" t="s">
        <v>27</v>
      </c>
      <c r="H8" s="26" t="s">
        <v>43</v>
      </c>
      <c r="M8" t="s">
        <v>45</v>
      </c>
    </row>
    <row r="9" spans="1:21" x14ac:dyDescent="0.25">
      <c r="A9" s="29"/>
      <c r="B9" s="17">
        <v>1</v>
      </c>
      <c r="C9" s="17">
        <v>2</v>
      </c>
      <c r="D9" s="17">
        <v>3</v>
      </c>
      <c r="E9" s="27"/>
      <c r="F9" s="25"/>
      <c r="G9" s="25"/>
      <c r="H9" s="27"/>
      <c r="M9" t="s">
        <v>57</v>
      </c>
      <c r="N9" s="21"/>
      <c r="O9" s="21"/>
    </row>
    <row r="10" spans="1:21" x14ac:dyDescent="0.25">
      <c r="A10" s="18">
        <v>1.4</v>
      </c>
      <c r="B10" s="19">
        <v>2</v>
      </c>
      <c r="C10" s="19">
        <v>1</v>
      </c>
      <c r="D10" s="19">
        <v>0</v>
      </c>
      <c r="E10" s="19">
        <v>100</v>
      </c>
      <c r="F10" s="1">
        <f>SUMPRODUCT(B10:D10,B18:D18)</f>
        <v>100</v>
      </c>
      <c r="G10" s="1">
        <f>F10*C3</f>
        <v>1200</v>
      </c>
      <c r="H10" s="1">
        <f>SUM(G10:G11)</f>
        <v>2000</v>
      </c>
      <c r="M10" s="21" t="s">
        <v>47</v>
      </c>
    </row>
    <row r="11" spans="1:21" x14ac:dyDescent="0.25">
      <c r="A11" s="18">
        <v>0.6</v>
      </c>
      <c r="B11" s="19">
        <v>0</v>
      </c>
      <c r="C11" s="19">
        <v>2</v>
      </c>
      <c r="D11" s="19">
        <v>5</v>
      </c>
      <c r="E11" s="19">
        <v>200</v>
      </c>
      <c r="F11" s="1">
        <f>SUMPRODUCT(B11:D11,B18:D18)</f>
        <v>200</v>
      </c>
      <c r="G11" s="1">
        <f>F11*C4</f>
        <v>800</v>
      </c>
      <c r="H11" s="1"/>
    </row>
    <row r="12" spans="1:21" x14ac:dyDescent="0.25">
      <c r="A12" s="1" t="s">
        <v>36</v>
      </c>
      <c r="B12" s="1">
        <f>SUM(B10:B11)</f>
        <v>2</v>
      </c>
      <c r="C12" s="1">
        <f>SUM(C10:C11)</f>
        <v>3</v>
      </c>
      <c r="D12" s="1">
        <f>SUM(D10:D11) - 1</f>
        <v>4</v>
      </c>
    </row>
    <row r="13" spans="1:21" x14ac:dyDescent="0.25">
      <c r="A13" s="1" t="s">
        <v>37</v>
      </c>
      <c r="B13" s="1">
        <f>$A$10*B10+ $A$11*B11</f>
        <v>2.8</v>
      </c>
      <c r="C13" s="1">
        <f>$A$10*C10+ $A$11*C11</f>
        <v>2.5999999999999996</v>
      </c>
      <c r="D13" s="1">
        <f>$A$10*D10+ $A$11*D11</f>
        <v>3</v>
      </c>
    </row>
    <row r="14" spans="1:21" x14ac:dyDescent="0.25">
      <c r="A14" s="1" t="s">
        <v>38</v>
      </c>
      <c r="B14" s="1">
        <f>3-B13</f>
        <v>0.20000000000000018</v>
      </c>
      <c r="C14" s="1">
        <f t="shared" ref="C14:D14" si="0">3-C13</f>
        <v>0.40000000000000036</v>
      </c>
      <c r="D14" s="1">
        <f t="shared" si="0"/>
        <v>0</v>
      </c>
    </row>
    <row r="15" spans="1:21" x14ac:dyDescent="0.25">
      <c r="L15" s="31"/>
      <c r="M15" s="31"/>
    </row>
    <row r="16" spans="1:21" x14ac:dyDescent="0.25">
      <c r="B16" s="32" t="s">
        <v>39</v>
      </c>
      <c r="C16" s="33"/>
      <c r="D16" s="34"/>
      <c r="E16" s="26" t="s">
        <v>48</v>
      </c>
    </row>
    <row r="17" spans="1:5" x14ac:dyDescent="0.25">
      <c r="B17" s="19" t="s">
        <v>40</v>
      </c>
      <c r="C17" s="19" t="s">
        <v>41</v>
      </c>
      <c r="D17" s="19" t="s">
        <v>42</v>
      </c>
      <c r="E17" s="27"/>
    </row>
    <row r="18" spans="1:5" x14ac:dyDescent="0.25">
      <c r="B18" s="1">
        <v>50</v>
      </c>
      <c r="C18" s="1">
        <v>0</v>
      </c>
      <c r="D18" s="1">
        <v>40</v>
      </c>
      <c r="E18" s="1">
        <f>SUM(B18:D18)</f>
        <v>90</v>
      </c>
    </row>
    <row r="19" spans="1:5" x14ac:dyDescent="0.25">
      <c r="A19" t="s">
        <v>49</v>
      </c>
      <c r="B19">
        <f>B18*B14</f>
        <v>10.000000000000009</v>
      </c>
      <c r="C19">
        <f t="shared" ref="C19:D19" si="1">C18*C14</f>
        <v>0</v>
      </c>
      <c r="D19">
        <f t="shared" si="1"/>
        <v>0</v>
      </c>
      <c r="E19">
        <f>SUM(B19:D19)</f>
        <v>10.000000000000009</v>
      </c>
    </row>
    <row r="21" spans="1:5" x14ac:dyDescent="0.25">
      <c r="A21" t="s">
        <v>50</v>
      </c>
      <c r="B21">
        <f>B18*B12</f>
        <v>100</v>
      </c>
      <c r="C21">
        <f t="shared" ref="C21:D21" si="2">C18*C12</f>
        <v>0</v>
      </c>
      <c r="D21">
        <f t="shared" si="2"/>
        <v>160</v>
      </c>
    </row>
  </sheetData>
  <mergeCells count="10">
    <mergeCell ref="L15:M15"/>
    <mergeCell ref="B16:D16"/>
    <mergeCell ref="E16:E17"/>
    <mergeCell ref="G5:I5"/>
    <mergeCell ref="A8:A9"/>
    <mergeCell ref="B8:D8"/>
    <mergeCell ref="E8:E9"/>
    <mergeCell ref="F8:F9"/>
    <mergeCell ref="G8:G9"/>
    <mergeCell ref="H8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2(1)</vt:lpstr>
      <vt:lpstr>Задание 2(2)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Королёв</dc:creator>
  <cp:lastModifiedBy>Антон Королёв</cp:lastModifiedBy>
  <dcterms:created xsi:type="dcterms:W3CDTF">2024-11-22T17:54:28Z</dcterms:created>
  <dcterms:modified xsi:type="dcterms:W3CDTF">2024-12-20T20:53:55Z</dcterms:modified>
</cp:coreProperties>
</file>