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sh\OneDrive\Рабочий стол\теория принятия решений\"/>
    </mc:Choice>
  </mc:AlternateContent>
  <xr:revisionPtr revIDLastSave="0" documentId="8_{B8286C54-C583-49A0-943C-D19B46F5F333}" xr6:coauthVersionLast="47" xr6:coauthVersionMax="47" xr10:uidLastSave="{00000000-0000-0000-0000-000000000000}"/>
  <bookViews>
    <workbookView xWindow="-120" yWindow="-120" windowWidth="29040" windowHeight="15720" xr2:uid="{8E243285-322B-4D2C-AE4F-CD3F1500E02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6" i="1"/>
  <c r="J15" i="1"/>
  <c r="J27" i="1" s="1"/>
  <c r="J14" i="1"/>
  <c r="J13" i="1"/>
  <c r="J12" i="1"/>
  <c r="I17" i="1"/>
  <c r="I16" i="1"/>
  <c r="I15" i="1"/>
  <c r="I14" i="1"/>
  <c r="I26" i="1" s="1"/>
  <c r="I13" i="1"/>
  <c r="J24" i="1"/>
  <c r="I28" i="1"/>
  <c r="I27" i="1"/>
  <c r="I25" i="1"/>
  <c r="I29" i="1"/>
  <c r="I12" i="1"/>
  <c r="C12" i="1"/>
  <c r="D12" i="1"/>
  <c r="E12" i="1"/>
  <c r="F12" i="1"/>
  <c r="F24" i="1" s="1"/>
  <c r="G12" i="1"/>
  <c r="H12" i="1"/>
  <c r="H24" i="1" s="1"/>
  <c r="C13" i="1"/>
  <c r="C25" i="1" s="1"/>
  <c r="D13" i="1"/>
  <c r="D25" i="1" s="1"/>
  <c r="E13" i="1"/>
  <c r="F13" i="1"/>
  <c r="F25" i="1" s="1"/>
  <c r="G13" i="1"/>
  <c r="G25" i="1" s="1"/>
  <c r="H13" i="1"/>
  <c r="H25" i="1" s="1"/>
  <c r="C14" i="1"/>
  <c r="D14" i="1"/>
  <c r="E14" i="1"/>
  <c r="F14" i="1"/>
  <c r="F26" i="1" s="1"/>
  <c r="G14" i="1"/>
  <c r="H14" i="1"/>
  <c r="H26" i="1" s="1"/>
  <c r="C15" i="1"/>
  <c r="D15" i="1"/>
  <c r="D27" i="1" s="1"/>
  <c r="E15" i="1"/>
  <c r="E27" i="1" s="1"/>
  <c r="F15" i="1"/>
  <c r="F27" i="1" s="1"/>
  <c r="G15" i="1"/>
  <c r="G27" i="1" s="1"/>
  <c r="H15" i="1"/>
  <c r="H27" i="1" s="1"/>
  <c r="C16" i="1"/>
  <c r="D16" i="1"/>
  <c r="E16" i="1"/>
  <c r="F16" i="1"/>
  <c r="G16" i="1"/>
  <c r="H16" i="1"/>
  <c r="C17" i="1"/>
  <c r="C29" i="1" s="1"/>
  <c r="D17" i="1"/>
  <c r="D29" i="1" s="1"/>
  <c r="E17" i="1"/>
  <c r="E29" i="1" s="1"/>
  <c r="F17" i="1"/>
  <c r="F29" i="1" s="1"/>
  <c r="G17" i="1"/>
  <c r="G29" i="1" s="1"/>
  <c r="H17" i="1"/>
  <c r="H29" i="1" s="1"/>
  <c r="C28" i="1"/>
  <c r="G24" i="1"/>
  <c r="D26" i="1"/>
  <c r="E26" i="1"/>
  <c r="G26" i="1"/>
  <c r="D28" i="1"/>
  <c r="E28" i="1"/>
  <c r="F28" i="1"/>
  <c r="G28" i="1"/>
  <c r="C27" i="1"/>
  <c r="B13" i="1"/>
  <c r="B14" i="1"/>
  <c r="B15" i="1"/>
  <c r="B16" i="1"/>
  <c r="B17" i="1"/>
  <c r="B12" i="1"/>
  <c r="C20" i="1"/>
  <c r="D20" i="1"/>
  <c r="E20" i="1"/>
  <c r="F20" i="1"/>
  <c r="G20" i="1"/>
  <c r="H20" i="1"/>
  <c r="I20" i="1"/>
  <c r="J20" i="1"/>
  <c r="C21" i="1"/>
  <c r="D21" i="1"/>
  <c r="E21" i="1"/>
  <c r="F21" i="1"/>
  <c r="G21" i="1"/>
  <c r="H21" i="1"/>
  <c r="I21" i="1"/>
  <c r="J21" i="1"/>
  <c r="B21" i="1"/>
  <c r="B20" i="1"/>
  <c r="E25" i="1"/>
  <c r="J25" i="1"/>
  <c r="C26" i="1"/>
  <c r="J26" i="1"/>
  <c r="H28" i="1"/>
  <c r="J28" i="1"/>
  <c r="J29" i="1"/>
  <c r="B25" i="1"/>
  <c r="B26" i="1"/>
  <c r="B27" i="1"/>
  <c r="B28" i="1"/>
  <c r="B29" i="1"/>
  <c r="B24" i="1"/>
  <c r="C24" i="1"/>
  <c r="D24" i="1"/>
  <c r="E24" i="1"/>
  <c r="I24" i="1"/>
  <c r="K29" i="1" l="1"/>
  <c r="K26" i="1"/>
  <c r="K25" i="1"/>
  <c r="K28" i="1"/>
  <c r="K27" i="1"/>
  <c r="K24" i="1"/>
</calcChain>
</file>

<file path=xl/sharedStrings.xml><?xml version="1.0" encoding="utf-8"?>
<sst xmlns="http://schemas.openxmlformats.org/spreadsheetml/2006/main" count="40" uniqueCount="23">
  <si>
    <t>Совокупные активы,
 ден. Ед.</t>
  </si>
  <si>
    <t>Страховая компа-
ния</t>
  </si>
  <si>
    <t>Место по количеству
 дочерних и региональ
ных отделений, №</t>
  </si>
  <si>
    <t>Прирост совокупных
 активов за предыдущий
 год, %</t>
  </si>
  <si>
    <t>Страховые резервы, ден.
 Ед.</t>
  </si>
  <si>
    <t>Уставной капитал на
 01.01.10, ден. ед.</t>
  </si>
  <si>
    <t>Уставной капитал на
 01.01.09, ден. ед.</t>
  </si>
  <si>
    <t>Свободные активы, ден.
 ед.</t>
  </si>
  <si>
    <t>Чистая прибыль,
 ден. ед.</t>
  </si>
  <si>
    <t>Рейтинг по взносам,
 усл. ед.</t>
  </si>
  <si>
    <t>Промышленная СК</t>
  </si>
  <si>
    <t>Группа «Альфа Страхование»</t>
  </si>
  <si>
    <t>СК «РОСНО»</t>
  </si>
  <si>
    <t>СК «Лига»</t>
  </si>
  <si>
    <t>СК «Якорь»</t>
  </si>
  <si>
    <t>«Национальная страховая группа»</t>
  </si>
  <si>
    <t>Весовой коэффициент</t>
  </si>
  <si>
    <t>min</t>
  </si>
  <si>
    <t>max</t>
  </si>
  <si>
    <t>ИТОГ</t>
  </si>
  <si>
    <t>ИСХОДНАЯ МАТРИЦА</t>
  </si>
  <si>
    <t>НОРМАЛИЗОВАННАЯ МАТРИЦА</t>
  </si>
  <si>
    <t>ОЦЕНКА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</si>
</sst>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3" xfId="0" applyBorder="1" applyAlignment="1">
      <alignment textRotation="90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textRotation="90" wrapText="1"/>
    </xf>
    <xf numFmtId="0" fontId="0" fillId="0" borderId="3" xfId="0" applyBorder="1" applyAlignment="1">
      <alignment horizontal="center" textRotation="90" wrapText="1"/>
    </xf>
    <xf numFmtId="0" fontId="0" fillId="0" borderId="0" xfId="0" applyAlignment="1">
      <alignment textRotation="90" wrapText="1"/>
    </xf>
    <xf numFmtId="0" fontId="0" fillId="2" borderId="8" xfId="0" applyFill="1" applyBorder="1"/>
    <xf numFmtId="0" fontId="0" fillId="2" borderId="9" xfId="0" applyFill="1" applyBorder="1"/>
    <xf numFmtId="2" fontId="0" fillId="0" borderId="0" xfId="0" applyNumberFormat="1"/>
    <xf numFmtId="0" fontId="0" fillId="0" borderId="10" xfId="0" applyBorder="1" applyAlignment="1">
      <alignment textRotation="90" wrapText="1"/>
    </xf>
    <xf numFmtId="0" fontId="0" fillId="3" borderId="0" xfId="0" applyFill="1"/>
    <xf numFmtId="0" fontId="1" fillId="0" borderId="11" xfId="0" applyFont="1" applyBorder="1" applyAlignment="1">
      <alignment horizontal="center" vertical="center" textRotation="90"/>
    </xf>
    <xf numFmtId="0" fontId="1" fillId="0" borderId="0" xfId="0" applyFont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47625</xdr:rowOff>
    </xdr:from>
    <xdr:to>
      <xdr:col>5</xdr:col>
      <xdr:colOff>409575</xdr:colOff>
      <xdr:row>47</xdr:row>
      <xdr:rowOff>44445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AFCD7EE-F20A-3238-C5B7-2135F1607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77300"/>
          <a:ext cx="5114925" cy="3044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1A5C7-3CB2-4B98-892D-5B28A8170FD2}">
  <dimension ref="A1:L29"/>
  <sheetViews>
    <sheetView tabSelected="1" topLeftCell="A21" workbookViewId="0">
      <selection activeCell="N25" sqref="N25"/>
    </sheetView>
  </sheetViews>
  <sheetFormatPr defaultRowHeight="15" x14ac:dyDescent="0.25"/>
  <cols>
    <col min="1" max="1" width="34" customWidth="1"/>
    <col min="11" max="11" width="11.5703125" bestFit="1" customWidth="1"/>
  </cols>
  <sheetData>
    <row r="1" spans="1:11" ht="129" x14ac:dyDescent="0.25">
      <c r="A1" s="6" t="s">
        <v>1</v>
      </c>
      <c r="B1" s="5" t="s">
        <v>0</v>
      </c>
      <c r="C1" s="5" t="s">
        <v>3</v>
      </c>
      <c r="D1" s="8" t="s">
        <v>4</v>
      </c>
      <c r="E1" s="5" t="s">
        <v>5</v>
      </c>
      <c r="F1" s="5" t="s">
        <v>6</v>
      </c>
      <c r="G1" s="5" t="s">
        <v>7</v>
      </c>
      <c r="H1" s="9" t="s">
        <v>8</v>
      </c>
      <c r="I1" s="9" t="s">
        <v>9</v>
      </c>
      <c r="J1" s="7" t="s">
        <v>2</v>
      </c>
      <c r="K1" s="15" t="s">
        <v>20</v>
      </c>
    </row>
    <row r="2" spans="1:11" x14ac:dyDescent="0.25">
      <c r="A2" s="2" t="s">
        <v>10</v>
      </c>
      <c r="B2" s="1">
        <v>12000000</v>
      </c>
      <c r="C2" s="1">
        <v>61</v>
      </c>
      <c r="D2" s="1">
        <v>830000</v>
      </c>
      <c r="E2" s="1">
        <v>500000</v>
      </c>
      <c r="F2" s="1">
        <v>500000</v>
      </c>
      <c r="G2" s="1">
        <v>490000</v>
      </c>
      <c r="H2" s="1">
        <v>3000</v>
      </c>
      <c r="I2" s="1">
        <v>1</v>
      </c>
      <c r="J2" s="3">
        <v>2</v>
      </c>
      <c r="K2" s="15"/>
    </row>
    <row r="3" spans="1:11" x14ac:dyDescent="0.25">
      <c r="A3" s="2" t="s">
        <v>11</v>
      </c>
      <c r="B3" s="1">
        <v>10268700</v>
      </c>
      <c r="C3" s="1">
        <v>119.3</v>
      </c>
      <c r="D3" s="1">
        <v>1321000</v>
      </c>
      <c r="E3" s="1">
        <v>950000</v>
      </c>
      <c r="F3" s="1">
        <v>50000</v>
      </c>
      <c r="G3" s="1">
        <v>500000</v>
      </c>
      <c r="H3" s="1">
        <v>3814</v>
      </c>
      <c r="I3" s="1">
        <v>2</v>
      </c>
      <c r="J3" s="3">
        <v>1</v>
      </c>
      <c r="K3" s="15"/>
    </row>
    <row r="4" spans="1:11" x14ac:dyDescent="0.25">
      <c r="A4" s="2" t="s">
        <v>12</v>
      </c>
      <c r="B4" s="1">
        <v>9000000</v>
      </c>
      <c r="C4" s="1">
        <v>226.2</v>
      </c>
      <c r="D4" s="1">
        <v>1876230</v>
      </c>
      <c r="E4" s="1">
        <v>432000</v>
      </c>
      <c r="F4" s="1">
        <v>324000</v>
      </c>
      <c r="G4" s="1">
        <v>980400</v>
      </c>
      <c r="H4" s="1">
        <v>250000</v>
      </c>
      <c r="I4" s="1">
        <v>3</v>
      </c>
      <c r="J4" s="3">
        <v>3</v>
      </c>
      <c r="K4" s="15"/>
    </row>
    <row r="5" spans="1:11" x14ac:dyDescent="0.25">
      <c r="A5" s="2" t="s">
        <v>13</v>
      </c>
      <c r="B5" s="1">
        <v>15000500</v>
      </c>
      <c r="C5" s="1">
        <v>135.5</v>
      </c>
      <c r="D5" s="1">
        <v>3111000</v>
      </c>
      <c r="E5" s="1">
        <v>750000</v>
      </c>
      <c r="F5" s="1">
        <v>300000</v>
      </c>
      <c r="G5" s="1">
        <v>331900</v>
      </c>
      <c r="H5" s="1">
        <v>320120</v>
      </c>
      <c r="I5" s="1">
        <v>4</v>
      </c>
      <c r="J5" s="3">
        <v>6</v>
      </c>
      <c r="K5" s="15"/>
    </row>
    <row r="6" spans="1:11" x14ac:dyDescent="0.25">
      <c r="A6" s="2" t="s">
        <v>14</v>
      </c>
      <c r="B6" s="1">
        <v>1050400</v>
      </c>
      <c r="C6" s="1">
        <v>41.4</v>
      </c>
      <c r="D6" s="1">
        <v>650000</v>
      </c>
      <c r="E6" s="1">
        <v>80000</v>
      </c>
      <c r="F6" s="1">
        <v>80000</v>
      </c>
      <c r="G6" s="1">
        <v>81900</v>
      </c>
      <c r="H6" s="1">
        <v>2300</v>
      </c>
      <c r="I6" s="1">
        <v>5</v>
      </c>
      <c r="J6" s="3">
        <v>5</v>
      </c>
      <c r="K6" s="15"/>
    </row>
    <row r="7" spans="1:11" x14ac:dyDescent="0.25">
      <c r="A7" s="2" t="s">
        <v>15</v>
      </c>
      <c r="B7" s="1">
        <v>3050120</v>
      </c>
      <c r="C7" s="1">
        <v>163.69999999999999</v>
      </c>
      <c r="D7" s="1">
        <v>1150300</v>
      </c>
      <c r="E7" s="1">
        <v>485000</v>
      </c>
      <c r="F7" s="1">
        <v>165000</v>
      </c>
      <c r="G7" s="1">
        <v>483430</v>
      </c>
      <c r="H7" s="1">
        <v>1200</v>
      </c>
      <c r="I7" s="1">
        <v>6</v>
      </c>
      <c r="J7" s="3">
        <v>4</v>
      </c>
      <c r="K7" s="15"/>
    </row>
    <row r="8" spans="1:11" ht="15.75" thickBot="1" x14ac:dyDescent="0.3">
      <c r="A8" s="4" t="s">
        <v>16</v>
      </c>
      <c r="B8" s="10">
        <v>0.1</v>
      </c>
      <c r="C8" s="10">
        <v>0.1</v>
      </c>
      <c r="D8" s="10">
        <v>0.1</v>
      </c>
      <c r="E8" s="10">
        <v>0.05</v>
      </c>
      <c r="F8" s="10">
        <v>0.05</v>
      </c>
      <c r="G8" s="10">
        <v>0.2</v>
      </c>
      <c r="H8" s="10">
        <v>0.2</v>
      </c>
      <c r="I8" s="10">
        <v>0.1</v>
      </c>
      <c r="J8" s="11">
        <v>0.1</v>
      </c>
      <c r="K8" s="15"/>
    </row>
    <row r="10" spans="1:11" ht="15.75" thickBot="1" x14ac:dyDescent="0.3"/>
    <row r="11" spans="1:11" ht="129" x14ac:dyDescent="0.25">
      <c r="A11" s="6" t="s">
        <v>1</v>
      </c>
      <c r="B11" s="5" t="s">
        <v>0</v>
      </c>
      <c r="C11" s="5" t="s">
        <v>3</v>
      </c>
      <c r="D11" s="8" t="s">
        <v>4</v>
      </c>
      <c r="E11" s="5" t="s">
        <v>5</v>
      </c>
      <c r="F11" s="5" t="s">
        <v>6</v>
      </c>
      <c r="G11" s="5" t="s">
        <v>7</v>
      </c>
      <c r="H11" s="13" t="s">
        <v>8</v>
      </c>
      <c r="I11" s="9" t="s">
        <v>9</v>
      </c>
      <c r="J11" s="7" t="s">
        <v>2</v>
      </c>
      <c r="K11" s="16" t="s">
        <v>21</v>
      </c>
    </row>
    <row r="12" spans="1:11" x14ac:dyDescent="0.25">
      <c r="A12" s="2" t="s">
        <v>10</v>
      </c>
      <c r="B12" s="1">
        <f>(B2-B$21)/(B$20-B$21)</f>
        <v>0.78491193611515331</v>
      </c>
      <c r="C12" s="1">
        <f t="shared" ref="C12:H12" si="0">(C2-C$21)/(C$20-C$21)</f>
        <v>0.10606060606060608</v>
      </c>
      <c r="D12" s="1">
        <f t="shared" si="0"/>
        <v>7.3140999593661118E-2</v>
      </c>
      <c r="E12" s="1">
        <f t="shared" si="0"/>
        <v>0.48275862068965519</v>
      </c>
      <c r="F12" s="1">
        <f t="shared" si="0"/>
        <v>1</v>
      </c>
      <c r="G12" s="1">
        <f t="shared" si="0"/>
        <v>0.45420144685587088</v>
      </c>
      <c r="H12" s="1">
        <f t="shared" si="0"/>
        <v>5.6440486642418165E-3</v>
      </c>
      <c r="I12" s="1">
        <f>(I$20-I2)/(I$20-I$21)</f>
        <v>1</v>
      </c>
      <c r="J12" s="1">
        <f>(J$20-J2)/(J$20-J$21)</f>
        <v>0.8</v>
      </c>
      <c r="K12" s="17"/>
    </row>
    <row r="13" spans="1:11" x14ac:dyDescent="0.25">
      <c r="A13" s="2" t="s">
        <v>11</v>
      </c>
      <c r="B13" s="1">
        <f t="shared" ref="B13:C17" si="1">(B3-B$21)/(B$20-B$21)</f>
        <v>0.66080529888674633</v>
      </c>
      <c r="C13" s="1">
        <f t="shared" ref="C13:H13" si="2">(C3-C$21)/(C$20-C$21)</f>
        <v>0.4215367965367966</v>
      </c>
      <c r="D13" s="1">
        <f t="shared" si="2"/>
        <v>0.27265339292970336</v>
      </c>
      <c r="E13" s="1">
        <f t="shared" si="2"/>
        <v>1</v>
      </c>
      <c r="F13" s="1">
        <f t="shared" si="2"/>
        <v>0</v>
      </c>
      <c r="G13" s="1">
        <f t="shared" si="2"/>
        <v>0.46533110740122424</v>
      </c>
      <c r="H13" s="1">
        <f t="shared" si="2"/>
        <v>8.1964128935156158E-3</v>
      </c>
      <c r="I13" s="1">
        <f t="shared" ref="I13:J17" si="3">(I$20-I3)/(I$20-I$21)</f>
        <v>0.8</v>
      </c>
      <c r="J13" s="1">
        <f t="shared" si="3"/>
        <v>1</v>
      </c>
      <c r="K13" s="17"/>
    </row>
    <row r="14" spans="1:11" x14ac:dyDescent="0.25">
      <c r="A14" s="2" t="s">
        <v>12</v>
      </c>
      <c r="B14" s="1">
        <f t="shared" si="1"/>
        <v>0.56985971426728121</v>
      </c>
      <c r="C14" s="1">
        <f t="shared" ref="C14:H14" si="4">(C4-C$21)/(C$20-C$21)</f>
        <v>1</v>
      </c>
      <c r="D14" s="1">
        <f t="shared" si="4"/>
        <v>0.49826493295408369</v>
      </c>
      <c r="E14" s="1">
        <f t="shared" si="4"/>
        <v>0.40459770114942528</v>
      </c>
      <c r="F14" s="1">
        <f t="shared" si="4"/>
        <v>0.60888888888888892</v>
      </c>
      <c r="G14" s="1">
        <f t="shared" si="4"/>
        <v>1</v>
      </c>
      <c r="H14" s="1">
        <f t="shared" si="4"/>
        <v>0.78013294870186878</v>
      </c>
      <c r="I14" s="1">
        <f t="shared" si="3"/>
        <v>0.6</v>
      </c>
      <c r="J14" s="1">
        <f t="shared" si="3"/>
        <v>0.6</v>
      </c>
      <c r="K14" s="17"/>
    </row>
    <row r="15" spans="1:11" x14ac:dyDescent="0.25">
      <c r="A15" s="2" t="s">
        <v>13</v>
      </c>
      <c r="B15" s="1">
        <f t="shared" si="1"/>
        <v>1</v>
      </c>
      <c r="C15" s="1">
        <f t="shared" ref="C15:H15" si="5">(C5-C$21)/(C$20-C$21)</f>
        <v>0.50919913419913421</v>
      </c>
      <c r="D15" s="1">
        <f t="shared" si="5"/>
        <v>1</v>
      </c>
      <c r="E15" s="1">
        <f t="shared" si="5"/>
        <v>0.77011494252873558</v>
      </c>
      <c r="F15" s="1">
        <f t="shared" si="5"/>
        <v>0.55555555555555558</v>
      </c>
      <c r="G15" s="1">
        <f t="shared" si="5"/>
        <v>0.27824151363383415</v>
      </c>
      <c r="H15" s="1">
        <f t="shared" si="5"/>
        <v>1</v>
      </c>
      <c r="I15" s="1">
        <f t="shared" si="3"/>
        <v>0.4</v>
      </c>
      <c r="J15" s="1">
        <f t="shared" si="3"/>
        <v>0</v>
      </c>
      <c r="K15" s="17"/>
    </row>
    <row r="16" spans="1:11" x14ac:dyDescent="0.25">
      <c r="A16" s="2" t="s">
        <v>14</v>
      </c>
      <c r="B16" s="1">
        <f t="shared" si="1"/>
        <v>0</v>
      </c>
      <c r="C16" s="1">
        <f t="shared" ref="C16:H16" si="6">(C6-C$21)/(C$20-C$21)</f>
        <v>0</v>
      </c>
      <c r="D16" s="1">
        <f t="shared" si="6"/>
        <v>0</v>
      </c>
      <c r="E16" s="1">
        <f t="shared" si="6"/>
        <v>0</v>
      </c>
      <c r="F16" s="1">
        <f t="shared" si="6"/>
        <v>6.6666666666666666E-2</v>
      </c>
      <c r="G16" s="1">
        <f t="shared" si="6"/>
        <v>0</v>
      </c>
      <c r="H16" s="1">
        <f t="shared" si="6"/>
        <v>3.4491408503699987E-3</v>
      </c>
      <c r="I16" s="1">
        <f t="shared" si="3"/>
        <v>0.2</v>
      </c>
      <c r="J16" s="1">
        <f t="shared" si="3"/>
        <v>0.2</v>
      </c>
      <c r="K16" s="17"/>
    </row>
    <row r="17" spans="1:12" x14ac:dyDescent="0.25">
      <c r="A17" s="2" t="s">
        <v>15</v>
      </c>
      <c r="B17" s="1">
        <f t="shared" si="1"/>
        <v>0.14334807635787558</v>
      </c>
      <c r="C17" s="1">
        <f t="shared" ref="C17:H17" si="7">(C7-C$21)/(C$20-C$21)</f>
        <v>0.66179653679653672</v>
      </c>
      <c r="D17" s="1">
        <f t="shared" si="7"/>
        <v>0.20329134498171475</v>
      </c>
      <c r="E17" s="1">
        <f t="shared" si="7"/>
        <v>0.46551724137931033</v>
      </c>
      <c r="F17" s="1">
        <f t="shared" si="7"/>
        <v>0.25555555555555554</v>
      </c>
      <c r="G17" s="1">
        <f t="shared" si="7"/>
        <v>0.44688925987757372</v>
      </c>
      <c r="H17" s="1">
        <f t="shared" si="7"/>
        <v>0</v>
      </c>
      <c r="I17" s="1">
        <f t="shared" si="3"/>
        <v>0</v>
      </c>
      <c r="J17" s="1">
        <f t="shared" si="3"/>
        <v>0.4</v>
      </c>
      <c r="K17" s="17"/>
    </row>
    <row r="18" spans="1:12" ht="15.75" thickBot="1" x14ac:dyDescent="0.3">
      <c r="A18" s="4" t="s">
        <v>16</v>
      </c>
      <c r="B18" s="10">
        <v>0.1</v>
      </c>
      <c r="C18" s="10">
        <v>0.1</v>
      </c>
      <c r="D18" s="10">
        <v>0.1</v>
      </c>
      <c r="E18" s="10">
        <v>0.05</v>
      </c>
      <c r="F18" s="10">
        <v>0.05</v>
      </c>
      <c r="G18" s="10">
        <v>0.2</v>
      </c>
      <c r="H18" s="10">
        <v>0.2</v>
      </c>
      <c r="I18" s="10">
        <v>0.1</v>
      </c>
      <c r="J18" s="11">
        <v>0.1</v>
      </c>
      <c r="K18" s="17"/>
    </row>
    <row r="20" spans="1:12" x14ac:dyDescent="0.25">
      <c r="A20" t="s">
        <v>18</v>
      </c>
      <c r="B20">
        <f>MAX(B2:B7)</f>
        <v>15000500</v>
      </c>
      <c r="C20">
        <f t="shared" ref="C20:J20" si="8">MAX(C2:C7)</f>
        <v>226.2</v>
      </c>
      <c r="D20">
        <f t="shared" si="8"/>
        <v>3111000</v>
      </c>
      <c r="E20">
        <f t="shared" si="8"/>
        <v>950000</v>
      </c>
      <c r="F20">
        <f t="shared" si="8"/>
        <v>500000</v>
      </c>
      <c r="G20">
        <f t="shared" si="8"/>
        <v>980400</v>
      </c>
      <c r="H20">
        <f t="shared" si="8"/>
        <v>320120</v>
      </c>
      <c r="I20">
        <f t="shared" si="8"/>
        <v>6</v>
      </c>
      <c r="J20">
        <f t="shared" si="8"/>
        <v>6</v>
      </c>
    </row>
    <row r="21" spans="1:12" x14ac:dyDescent="0.25">
      <c r="A21" t="s">
        <v>17</v>
      </c>
      <c r="B21">
        <f>MIN(B2:B7)</f>
        <v>1050400</v>
      </c>
      <c r="C21">
        <f t="shared" ref="C21:J21" si="9">MIN(C2:C7)</f>
        <v>41.4</v>
      </c>
      <c r="D21">
        <f t="shared" si="9"/>
        <v>650000</v>
      </c>
      <c r="E21">
        <f t="shared" si="9"/>
        <v>80000</v>
      </c>
      <c r="F21">
        <f t="shared" si="9"/>
        <v>50000</v>
      </c>
      <c r="G21">
        <f t="shared" si="9"/>
        <v>81900</v>
      </c>
      <c r="H21">
        <f t="shared" si="9"/>
        <v>1200</v>
      </c>
      <c r="I21">
        <f t="shared" si="9"/>
        <v>1</v>
      </c>
      <c r="J21">
        <f t="shared" si="9"/>
        <v>1</v>
      </c>
    </row>
    <row r="23" spans="1:12" x14ac:dyDescent="0.25">
      <c r="K23" s="14" t="s">
        <v>19</v>
      </c>
    </row>
    <row r="24" spans="1:12" x14ac:dyDescent="0.25">
      <c r="B24">
        <f>B12*B$18</f>
        <v>7.8491193611515339E-2</v>
      </c>
      <c r="C24">
        <f>C12*C18</f>
        <v>1.0606060606060608E-2</v>
      </c>
      <c r="D24">
        <f>D12*D18</f>
        <v>7.3140999593661118E-3</v>
      </c>
      <c r="E24">
        <f>E12*E18</f>
        <v>2.4137931034482762E-2</v>
      </c>
      <c r="F24">
        <f>F12*F18</f>
        <v>0.05</v>
      </c>
      <c r="G24">
        <f>G12*G18</f>
        <v>9.0840289371174179E-2</v>
      </c>
      <c r="H24">
        <f>H12*H18</f>
        <v>1.1288097328483633E-3</v>
      </c>
      <c r="I24">
        <f>I12*I18</f>
        <v>0.1</v>
      </c>
      <c r="J24">
        <f>J12*J18</f>
        <v>8.0000000000000016E-2</v>
      </c>
      <c r="K24">
        <f>SUM(B24:J24)</f>
        <v>0.44251838431544738</v>
      </c>
      <c r="L24" s="16" t="s">
        <v>22</v>
      </c>
    </row>
    <row r="25" spans="1:12" x14ac:dyDescent="0.25">
      <c r="B25">
        <f>B13*B$18</f>
        <v>6.6080529888674633E-2</v>
      </c>
      <c r="C25">
        <f>C13*C$18</f>
        <v>4.2153679653679665E-2</v>
      </c>
      <c r="D25">
        <f>D13*D$18</f>
        <v>2.7265339292970339E-2</v>
      </c>
      <c r="E25">
        <f>E13*E$18</f>
        <v>0.05</v>
      </c>
      <c r="F25">
        <f>F13*F$18</f>
        <v>0</v>
      </c>
      <c r="G25">
        <f>G13*G$18</f>
        <v>9.3066221480244848E-2</v>
      </c>
      <c r="H25">
        <f>H13*H$18</f>
        <v>1.6392825787031233E-3</v>
      </c>
      <c r="I25">
        <f>I13*I$18</f>
        <v>8.0000000000000016E-2</v>
      </c>
      <c r="J25">
        <f>J13*J$18</f>
        <v>0.1</v>
      </c>
      <c r="K25">
        <f t="shared" ref="K25:K29" si="10">SUM(B25:J25)</f>
        <v>0.4602050528942726</v>
      </c>
      <c r="L25" s="17"/>
    </row>
    <row r="26" spans="1:12" x14ac:dyDescent="0.25">
      <c r="B26">
        <f>B14*B$18</f>
        <v>5.6985971426728121E-2</v>
      </c>
      <c r="C26">
        <f>C14*C$18</f>
        <v>0.1</v>
      </c>
      <c r="D26">
        <f>D14*D$18</f>
        <v>4.9826493295408371E-2</v>
      </c>
      <c r="E26">
        <f>E14*E$18</f>
        <v>2.0229885057471267E-2</v>
      </c>
      <c r="F26">
        <f>F14*F$18</f>
        <v>3.0444444444444448E-2</v>
      </c>
      <c r="G26">
        <f>G14*G$18</f>
        <v>0.2</v>
      </c>
      <c r="H26">
        <f>H14*H$18</f>
        <v>0.15602658974037376</v>
      </c>
      <c r="I26">
        <f>I14*I$18</f>
        <v>0.06</v>
      </c>
      <c r="J26">
        <f>J14*J$18</f>
        <v>0.06</v>
      </c>
      <c r="K26" s="18">
        <f t="shared" si="10"/>
        <v>0.73351338396442611</v>
      </c>
      <c r="L26" s="17"/>
    </row>
    <row r="27" spans="1:12" x14ac:dyDescent="0.25">
      <c r="B27">
        <f>B15*B$18</f>
        <v>0.1</v>
      </c>
      <c r="C27">
        <f>C15*C$18</f>
        <v>5.0919913419913421E-2</v>
      </c>
      <c r="D27">
        <f>D15*D$18</f>
        <v>0.1</v>
      </c>
      <c r="E27">
        <f>E15*E$18</f>
        <v>3.8505747126436785E-2</v>
      </c>
      <c r="F27">
        <f>F15*F$18</f>
        <v>2.777777777777778E-2</v>
      </c>
      <c r="G27">
        <f>G15*G$18</f>
        <v>5.5648302726766831E-2</v>
      </c>
      <c r="H27">
        <f>H15*H$18</f>
        <v>0.2</v>
      </c>
      <c r="I27">
        <f>I15*I$18</f>
        <v>4.0000000000000008E-2</v>
      </c>
      <c r="J27">
        <f>J15*J$18</f>
        <v>0</v>
      </c>
      <c r="K27">
        <f t="shared" si="10"/>
        <v>0.6128517410508949</v>
      </c>
      <c r="L27" s="17"/>
    </row>
    <row r="28" spans="1:12" x14ac:dyDescent="0.25">
      <c r="B28">
        <f>B16*B$18</f>
        <v>0</v>
      </c>
      <c r="C28">
        <f>C16*C$18</f>
        <v>0</v>
      </c>
      <c r="D28">
        <f>D16*D$18</f>
        <v>0</v>
      </c>
      <c r="E28">
        <f>E16*E$18</f>
        <v>0</v>
      </c>
      <c r="F28">
        <f>F16*F$18</f>
        <v>3.3333333333333335E-3</v>
      </c>
      <c r="G28">
        <f>G16*G$18</f>
        <v>0</v>
      </c>
      <c r="H28">
        <f>H16*H$18</f>
        <v>6.8982817007399977E-4</v>
      </c>
      <c r="I28">
        <f>I16*I$18</f>
        <v>2.0000000000000004E-2</v>
      </c>
      <c r="J28">
        <f>J16*J$18</f>
        <v>2.0000000000000004E-2</v>
      </c>
      <c r="K28" s="12">
        <f t="shared" si="10"/>
        <v>4.4023161503407342E-2</v>
      </c>
      <c r="L28" s="17"/>
    </row>
    <row r="29" spans="1:12" x14ac:dyDescent="0.25">
      <c r="B29">
        <f>B17*B$18</f>
        <v>1.433480763578756E-2</v>
      </c>
      <c r="C29">
        <f>C17*C$18</f>
        <v>6.6179653679653672E-2</v>
      </c>
      <c r="D29">
        <f>D17*D$18</f>
        <v>2.0329134498171475E-2</v>
      </c>
      <c r="E29">
        <f>E17*E$18</f>
        <v>2.3275862068965519E-2</v>
      </c>
      <c r="F29">
        <f>F17*F$18</f>
        <v>1.2777777777777777E-2</v>
      </c>
      <c r="G29">
        <f>G17*G$18</f>
        <v>8.9377851975514747E-2</v>
      </c>
      <c r="H29">
        <f>H17*H$18</f>
        <v>0</v>
      </c>
      <c r="I29">
        <f>I17*I$18</f>
        <v>0</v>
      </c>
      <c r="J29">
        <f>J17*J$18</f>
        <v>4.0000000000000008E-2</v>
      </c>
      <c r="K29">
        <f t="shared" si="10"/>
        <v>0.26627508763587071</v>
      </c>
      <c r="L29" s="17"/>
    </row>
  </sheetData>
  <mergeCells count="3">
    <mergeCell ref="K1:K8"/>
    <mergeCell ref="K11:K18"/>
    <mergeCell ref="L24:L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Королёв</dc:creator>
  <cp:lastModifiedBy>Антон Королёв</cp:lastModifiedBy>
  <dcterms:created xsi:type="dcterms:W3CDTF">2024-11-22T17:54:28Z</dcterms:created>
  <dcterms:modified xsi:type="dcterms:W3CDTF">2024-11-22T19:53:21Z</dcterms:modified>
</cp:coreProperties>
</file>