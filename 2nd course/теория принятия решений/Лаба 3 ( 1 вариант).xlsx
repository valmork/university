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jsh\Desktop\теория принятия решений\"/>
    </mc:Choice>
  </mc:AlternateContent>
  <xr:revisionPtr revIDLastSave="0" documentId="8_{3B5D7CAF-29EA-405A-8275-C7FD90C92EEF}" xr6:coauthVersionLast="47" xr6:coauthVersionMax="47" xr10:uidLastSave="{00000000-0000-0000-0000-000000000000}"/>
  <bookViews>
    <workbookView xWindow="-120" yWindow="-120" windowWidth="29040" windowHeight="15840" xr2:uid="{1D88B922-7F99-4D18-B934-111EB6BE6C3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L3" i="1"/>
  <c r="K3" i="1"/>
  <c r="J4" i="1"/>
  <c r="J5" i="1"/>
  <c r="J6" i="1"/>
  <c r="J7" i="1"/>
  <c r="J8" i="1"/>
  <c r="J9" i="1"/>
  <c r="J3" i="1"/>
  <c r="I4" i="1"/>
  <c r="I5" i="1"/>
  <c r="I6" i="1"/>
  <c r="I7" i="1"/>
  <c r="I8" i="1"/>
  <c r="I9" i="1"/>
  <c r="I3" i="1"/>
  <c r="H3" i="1"/>
  <c r="G4" i="1"/>
  <c r="G5" i="1"/>
  <c r="G6" i="1"/>
  <c r="G7" i="1"/>
  <c r="G8" i="1"/>
  <c r="G9" i="1"/>
  <c r="G3" i="1"/>
</calcChain>
</file>

<file path=xl/sharedStrings.xml><?xml version="1.0" encoding="utf-8"?>
<sst xmlns="http://schemas.openxmlformats.org/spreadsheetml/2006/main" count="23" uniqueCount="23">
  <si>
    <t>Эксперты</t>
  </si>
  <si>
    <t>Вариант A</t>
  </si>
  <si>
    <t>Вариант B</t>
  </si>
  <si>
    <t>Вариант C</t>
  </si>
  <si>
    <t>Вариант D</t>
  </si>
  <si>
    <t>Вариант E</t>
  </si>
  <si>
    <t>Вариант P</t>
  </si>
  <si>
    <t>Вариант O</t>
  </si>
  <si>
    <t>n = 5 (количество экспертов)</t>
  </si>
  <si>
    <t>Сумма оценок</t>
  </si>
  <si>
    <t>Среднее значение</t>
  </si>
  <si>
    <t>W = 12 * S / n^2 (m^3 - m)</t>
  </si>
  <si>
    <t>Отклонение от среднего значения</t>
  </si>
  <si>
    <t>Откл от ср. знач ^ 2</t>
  </si>
  <si>
    <t>S</t>
  </si>
  <si>
    <t>m = 7 (колиество вариантов)</t>
  </si>
  <si>
    <t>n^2 *(m^3 - m) / 12</t>
  </si>
  <si>
    <t>W</t>
  </si>
  <si>
    <t>Коэффициент конкордации изменяется от 0 до 1.</t>
  </si>
  <si>
    <t>Обычно согласованность считается удовлетворительной, если W &gt;0,5,</t>
  </si>
  <si>
    <t xml:space="preserve"> если W &gt;0,7, то согласованность считается хорошей.</t>
  </si>
  <si>
    <t xml:space="preserve">W = 0,654286, следовательно согласованность экспертов </t>
  </si>
  <si>
    <t>является удовлетворительной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</si>
</sst>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sz val="12"/>
      <color rgb="FF000000"/>
      <name val="Arial"/>
      <family val="2"/>
      <charset val="204"/>
    </font>
    <font>
      <sz val="12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/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6D304-163A-4725-A521-B237BF918B7B}">
  <dimension ref="A1:Q14"/>
  <sheetViews>
    <sheetView tabSelected="1" workbookViewId="0">
      <selection activeCell="J16" sqref="J16"/>
    </sheetView>
  </sheetViews>
  <sheetFormatPr defaultRowHeight="15" x14ac:dyDescent="0.25"/>
  <cols>
    <col min="1" max="1" width="13.5703125" customWidth="1"/>
    <col min="7" max="7" width="16.140625" bestFit="1" customWidth="1"/>
    <col min="8" max="8" width="18" bestFit="1" customWidth="1"/>
    <col min="9" max="9" width="32.85546875" bestFit="1" customWidth="1"/>
    <col min="10" max="10" width="19" bestFit="1" customWidth="1"/>
    <col min="12" max="12" width="18.140625" bestFit="1" customWidth="1"/>
  </cols>
  <sheetData>
    <row r="1" spans="1:17" x14ac:dyDescent="0.25">
      <c r="A1" s="4"/>
      <c r="B1" s="2" t="s">
        <v>0</v>
      </c>
      <c r="C1" s="2"/>
      <c r="D1" s="2"/>
      <c r="E1" s="2"/>
      <c r="F1" s="2"/>
      <c r="G1" s="2" t="s">
        <v>9</v>
      </c>
      <c r="H1" s="2" t="s">
        <v>10</v>
      </c>
      <c r="I1" s="2" t="s">
        <v>12</v>
      </c>
      <c r="J1" s="2" t="s">
        <v>13</v>
      </c>
      <c r="K1" s="2" t="s">
        <v>14</v>
      </c>
      <c r="L1" s="2" t="s">
        <v>16</v>
      </c>
      <c r="M1" s="2" t="s">
        <v>17</v>
      </c>
    </row>
    <row r="2" spans="1:17" ht="15.75" x14ac:dyDescent="0.25">
      <c r="A2" s="5"/>
      <c r="B2" s="3">
        <v>1</v>
      </c>
      <c r="C2" s="3">
        <v>2</v>
      </c>
      <c r="D2" s="3">
        <v>3</v>
      </c>
      <c r="E2" s="3">
        <v>4</v>
      </c>
      <c r="F2" s="3">
        <v>5</v>
      </c>
      <c r="G2" s="2"/>
      <c r="H2" s="2"/>
      <c r="I2" s="2"/>
      <c r="J2" s="2"/>
      <c r="K2" s="2"/>
      <c r="L2" s="2"/>
      <c r="M2" s="2"/>
      <c r="O2" s="8" t="s">
        <v>8</v>
      </c>
      <c r="P2" s="8"/>
      <c r="Q2" s="8"/>
    </row>
    <row r="3" spans="1:17" ht="15.75" x14ac:dyDescent="0.25">
      <c r="A3" s="1" t="s">
        <v>1</v>
      </c>
      <c r="B3" s="1">
        <v>1</v>
      </c>
      <c r="C3" s="1">
        <v>1</v>
      </c>
      <c r="D3" s="1">
        <v>5</v>
      </c>
      <c r="E3" s="1">
        <v>2</v>
      </c>
      <c r="F3" s="1">
        <v>1</v>
      </c>
      <c r="G3" s="3">
        <f>SUM(B3:F3)</f>
        <v>10</v>
      </c>
      <c r="H3" s="10">
        <f>AVERAGE(G3:G9)</f>
        <v>20</v>
      </c>
      <c r="I3" s="3">
        <f>ABS(G3-$H$3)</f>
        <v>10</v>
      </c>
      <c r="J3" s="3">
        <f>I3^2</f>
        <v>100</v>
      </c>
      <c r="K3" s="10">
        <f>SUM(J3:J9)</f>
        <v>458</v>
      </c>
      <c r="L3" s="10">
        <f xml:space="preserve"> 5^2 * (7^3 - 7) / 12</f>
        <v>700</v>
      </c>
      <c r="M3" s="11">
        <f>K3/L3</f>
        <v>0.65428571428571425</v>
      </c>
      <c r="O3" s="8" t="s">
        <v>15</v>
      </c>
      <c r="P3" s="8"/>
      <c r="Q3" s="8"/>
    </row>
    <row r="4" spans="1:17" ht="15.75" x14ac:dyDescent="0.25">
      <c r="A4" s="1" t="s">
        <v>2</v>
      </c>
      <c r="B4" s="1">
        <v>2</v>
      </c>
      <c r="C4" s="1">
        <v>2</v>
      </c>
      <c r="D4" s="1">
        <v>1</v>
      </c>
      <c r="E4" s="1">
        <v>1</v>
      </c>
      <c r="F4" s="1">
        <v>2</v>
      </c>
      <c r="G4" s="3">
        <f t="shared" ref="G4:G9" si="0">SUM(B4:F4)</f>
        <v>8</v>
      </c>
      <c r="H4" s="10"/>
      <c r="I4" s="3">
        <f t="shared" ref="I4:I9" si="1">ABS(G4-$H$3)</f>
        <v>12</v>
      </c>
      <c r="J4" s="3">
        <f t="shared" ref="J4:J9" si="2">I4^2</f>
        <v>144</v>
      </c>
      <c r="K4" s="10"/>
      <c r="L4" s="10"/>
      <c r="M4" s="11"/>
      <c r="O4" s="8"/>
      <c r="P4" s="8"/>
      <c r="Q4" s="8"/>
    </row>
    <row r="5" spans="1:17" ht="15.75" x14ac:dyDescent="0.25">
      <c r="A5" s="1" t="s">
        <v>3</v>
      </c>
      <c r="B5" s="1">
        <v>6</v>
      </c>
      <c r="C5" s="1">
        <v>7</v>
      </c>
      <c r="D5" s="1">
        <v>6</v>
      </c>
      <c r="E5" s="1">
        <v>5</v>
      </c>
      <c r="F5" s="1">
        <v>6</v>
      </c>
      <c r="G5" s="3">
        <f t="shared" si="0"/>
        <v>30</v>
      </c>
      <c r="H5" s="10"/>
      <c r="I5" s="3">
        <f t="shared" si="1"/>
        <v>10</v>
      </c>
      <c r="J5" s="3">
        <f t="shared" si="2"/>
        <v>100</v>
      </c>
      <c r="K5" s="10"/>
      <c r="L5" s="10"/>
      <c r="M5" s="11"/>
      <c r="O5" s="9" t="s">
        <v>11</v>
      </c>
      <c r="P5" s="9"/>
      <c r="Q5" s="9"/>
    </row>
    <row r="6" spans="1:17" x14ac:dyDescent="0.25">
      <c r="A6" s="1" t="s">
        <v>4</v>
      </c>
      <c r="B6" s="1">
        <v>4</v>
      </c>
      <c r="C6" s="1">
        <v>5</v>
      </c>
      <c r="D6" s="1">
        <v>4</v>
      </c>
      <c r="E6" s="1">
        <v>6</v>
      </c>
      <c r="F6" s="1">
        <v>4</v>
      </c>
      <c r="G6" s="3">
        <f t="shared" si="0"/>
        <v>23</v>
      </c>
      <c r="H6" s="10"/>
      <c r="I6" s="3">
        <f t="shared" si="1"/>
        <v>3</v>
      </c>
      <c r="J6" s="3">
        <f t="shared" si="2"/>
        <v>9</v>
      </c>
      <c r="K6" s="10"/>
      <c r="L6" s="10"/>
      <c r="M6" s="11"/>
    </row>
    <row r="7" spans="1:17" x14ac:dyDescent="0.25">
      <c r="A7" s="1" t="s">
        <v>5</v>
      </c>
      <c r="B7" s="1">
        <v>7</v>
      </c>
      <c r="C7" s="1">
        <v>3</v>
      </c>
      <c r="D7" s="1">
        <v>2</v>
      </c>
      <c r="E7" s="1">
        <v>4</v>
      </c>
      <c r="F7" s="1">
        <v>5</v>
      </c>
      <c r="G7" s="3">
        <f t="shared" si="0"/>
        <v>21</v>
      </c>
      <c r="H7" s="10"/>
      <c r="I7" s="3">
        <f t="shared" si="1"/>
        <v>1</v>
      </c>
      <c r="J7" s="3">
        <f t="shared" si="2"/>
        <v>1</v>
      </c>
      <c r="K7" s="10"/>
      <c r="L7" s="10"/>
      <c r="M7" s="11"/>
    </row>
    <row r="8" spans="1:17" x14ac:dyDescent="0.25">
      <c r="A8" s="1" t="s">
        <v>6</v>
      </c>
      <c r="B8" s="1">
        <v>3</v>
      </c>
      <c r="C8" s="1">
        <v>6</v>
      </c>
      <c r="D8" s="1">
        <v>7</v>
      </c>
      <c r="E8" s="1">
        <v>7</v>
      </c>
      <c r="F8" s="1">
        <v>7</v>
      </c>
      <c r="G8" s="3">
        <f t="shared" si="0"/>
        <v>30</v>
      </c>
      <c r="H8" s="10"/>
      <c r="I8" s="3">
        <f t="shared" si="1"/>
        <v>10</v>
      </c>
      <c r="J8" s="3">
        <f t="shared" si="2"/>
        <v>100</v>
      </c>
      <c r="K8" s="10"/>
      <c r="L8" s="10"/>
      <c r="M8" s="11"/>
      <c r="O8" s="7" t="s">
        <v>18</v>
      </c>
    </row>
    <row r="9" spans="1:17" x14ac:dyDescent="0.25">
      <c r="A9" s="1" t="s">
        <v>7</v>
      </c>
      <c r="B9" s="1">
        <v>5</v>
      </c>
      <c r="C9" s="1">
        <v>4</v>
      </c>
      <c r="D9" s="1">
        <v>3</v>
      </c>
      <c r="E9" s="1">
        <v>3</v>
      </c>
      <c r="F9" s="1">
        <v>3</v>
      </c>
      <c r="G9" s="3">
        <f t="shared" si="0"/>
        <v>18</v>
      </c>
      <c r="H9" s="10"/>
      <c r="I9" s="3">
        <f t="shared" si="1"/>
        <v>2</v>
      </c>
      <c r="J9" s="3">
        <f t="shared" si="2"/>
        <v>4</v>
      </c>
      <c r="K9" s="10"/>
      <c r="L9" s="10"/>
      <c r="M9" s="11"/>
      <c r="O9" s="6"/>
    </row>
    <row r="10" spans="1:17" x14ac:dyDescent="0.25">
      <c r="O10" s="7" t="s">
        <v>19</v>
      </c>
    </row>
    <row r="11" spans="1:17" ht="15.75" x14ac:dyDescent="0.25">
      <c r="O11" s="8" t="s">
        <v>20</v>
      </c>
    </row>
    <row r="13" spans="1:17" ht="15.75" x14ac:dyDescent="0.25">
      <c r="O13" s="8" t="s">
        <v>21</v>
      </c>
    </row>
    <row r="14" spans="1:17" ht="15.75" x14ac:dyDescent="0.25">
      <c r="O14" s="8" t="s">
        <v>22</v>
      </c>
    </row>
  </sheetData>
  <mergeCells count="14">
    <mergeCell ref="L1:L2"/>
    <mergeCell ref="L3:L9"/>
    <mergeCell ref="M1:M2"/>
    <mergeCell ref="M3:M9"/>
    <mergeCell ref="B1:F1"/>
    <mergeCell ref="A1:A2"/>
    <mergeCell ref="G1:G2"/>
    <mergeCell ref="H1:H2"/>
    <mergeCell ref="H3:H9"/>
    <mergeCell ref="O5:Q5"/>
    <mergeCell ref="I1:I2"/>
    <mergeCell ref="J1:J2"/>
    <mergeCell ref="K1:K2"/>
    <mergeCell ref="K3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Антон Королёв</dc:creator>
  <cp:lastModifiedBy>Антон Королёв</cp:lastModifiedBy>
  <dcterms:created xsi:type="dcterms:W3CDTF">2024-12-23T18:06:25Z</dcterms:created>
  <dcterms:modified xsi:type="dcterms:W3CDTF">2024-12-23T18:47:06Z</dcterms:modified>
</cp:coreProperties>
</file>