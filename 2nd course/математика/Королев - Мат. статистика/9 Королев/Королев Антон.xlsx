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jsh\Desktop\9_Korolev\9 Королев\"/>
    </mc:Choice>
  </mc:AlternateContent>
  <xr:revisionPtr revIDLastSave="0" documentId="8_{132C5BB8-910F-4D85-A39E-8714C77F73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" sheetId="1" r:id="rId1"/>
    <sheet name="2" sheetId="2" r:id="rId2"/>
  </sheets>
  <definedNames>
    <definedName name="_xlchart.v1.0" hidden="1">'1'!$A$1</definedName>
    <definedName name="_xlchart.v1.1" hidden="1">'1'!$A$2:$A$86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2" l="1"/>
  <c r="C71" i="2"/>
  <c r="F70" i="2"/>
  <c r="F71" i="2"/>
  <c r="F72" i="2"/>
  <c r="D74" i="2"/>
  <c r="C72" i="2"/>
  <c r="C70" i="2"/>
  <c r="C74" i="2"/>
  <c r="D72" i="2"/>
  <c r="D71" i="2"/>
  <c r="D70" i="2"/>
  <c r="R68" i="2" l="1"/>
  <c r="R67" i="2"/>
  <c r="R66" i="2"/>
  <c r="O68" i="2"/>
  <c r="O67" i="2"/>
  <c r="O66" i="2"/>
  <c r="O65" i="2"/>
  <c r="O59" i="2"/>
  <c r="O54" i="2"/>
  <c r="O62" i="2"/>
  <c r="O61" i="2"/>
  <c r="O60" i="2"/>
  <c r="AW28" i="2"/>
  <c r="AW23" i="2" a="1"/>
  <c r="AW29" i="2" s="1"/>
  <c r="AS28" i="2"/>
  <c r="AS23" i="2" a="1"/>
  <c r="AS30" i="2" s="1"/>
  <c r="AO23" i="2" a="1"/>
  <c r="AO23" i="2" s="1"/>
  <c r="AO28" i="2"/>
  <c r="AJ28" i="2"/>
  <c r="AJ23" i="2" a="1"/>
  <c r="AJ30" i="2" s="1"/>
  <c r="U28" i="2"/>
  <c r="O28" i="2"/>
  <c r="O23" i="2" a="1"/>
  <c r="O23" i="2" s="1"/>
  <c r="AE28" i="2"/>
  <c r="AE23" i="2" a="1"/>
  <c r="AE30" i="2" s="1"/>
  <c r="Z28" i="2"/>
  <c r="Z23" i="2" a="1"/>
  <c r="Z30" i="2" s="1"/>
  <c r="U23" i="2" a="1"/>
  <c r="U29" i="2" s="1"/>
  <c r="A28" i="2" a="1"/>
  <c r="A28" i="2" s="1"/>
  <c r="D34" i="2" s="1"/>
  <c r="B26" i="2"/>
  <c r="E28" i="2" s="1"/>
  <c r="E29" i="2" s="1"/>
  <c r="B25" i="2"/>
  <c r="B24" i="2"/>
  <c r="B23" i="2"/>
  <c r="AW30" i="2" l="1"/>
  <c r="AW31" i="2" s="1"/>
  <c r="AW23" i="2"/>
  <c r="AS23" i="2"/>
  <c r="AS29" i="2"/>
  <c r="AS31" i="2" s="1"/>
  <c r="AO29" i="2"/>
  <c r="AO30" i="2"/>
  <c r="AO31" i="2" s="1"/>
  <c r="O29" i="2"/>
  <c r="O30" i="2"/>
  <c r="O31" i="2" s="1"/>
  <c r="AJ23" i="2"/>
  <c r="AJ29" i="2"/>
  <c r="AJ31" i="2" s="1"/>
  <c r="AE23" i="2"/>
  <c r="AE29" i="2"/>
  <c r="AE31" i="2" s="1"/>
  <c r="Z23" i="2"/>
  <c r="Z29" i="2"/>
  <c r="Z31" i="2" s="1"/>
  <c r="U30" i="2"/>
  <c r="U31" i="2" s="1"/>
  <c r="U23" i="2"/>
  <c r="B34" i="2"/>
  <c r="N75" i="1" l="1"/>
  <c r="N73" i="1"/>
  <c r="N72" i="1"/>
  <c r="N64" i="1"/>
  <c r="M65" i="1"/>
  <c r="M66" i="1"/>
  <c r="M67" i="1"/>
  <c r="M68" i="1"/>
  <c r="M69" i="1"/>
  <c r="M70" i="1"/>
  <c r="L70" i="1"/>
  <c r="L69" i="1"/>
  <c r="L66" i="1"/>
  <c r="L67" i="1"/>
  <c r="N67" i="1" s="1"/>
  <c r="L68" i="1"/>
  <c r="L65" i="1"/>
  <c r="M64" i="1"/>
  <c r="L64" i="1"/>
  <c r="K70" i="1"/>
  <c r="K69" i="1"/>
  <c r="N68" i="1"/>
  <c r="K68" i="1"/>
  <c r="K67" i="1"/>
  <c r="K66" i="1"/>
  <c r="K65" i="1"/>
  <c r="K64" i="1"/>
  <c r="I65" i="1"/>
  <c r="I66" i="1"/>
  <c r="I67" i="1"/>
  <c r="I68" i="1"/>
  <c r="I69" i="1"/>
  <c r="I70" i="1"/>
  <c r="I71" i="1"/>
  <c r="I72" i="1"/>
  <c r="I64" i="1"/>
  <c r="H65" i="1"/>
  <c r="H66" i="1"/>
  <c r="H67" i="1"/>
  <c r="H68" i="1"/>
  <c r="H69" i="1"/>
  <c r="H70" i="1"/>
  <c r="H71" i="1"/>
  <c r="H72" i="1"/>
  <c r="H64" i="1"/>
  <c r="F72" i="1"/>
  <c r="G65" i="1"/>
  <c r="G66" i="1"/>
  <c r="G67" i="1"/>
  <c r="G68" i="1"/>
  <c r="G69" i="1"/>
  <c r="G70" i="1"/>
  <c r="G71" i="1"/>
  <c r="G72" i="1"/>
  <c r="G64" i="1"/>
  <c r="E66" i="1"/>
  <c r="E67" i="1"/>
  <c r="E68" i="1"/>
  <c r="E69" i="1"/>
  <c r="E70" i="1"/>
  <c r="E71" i="1"/>
  <c r="E72" i="1"/>
  <c r="E65" i="1"/>
  <c r="F65" i="1"/>
  <c r="F66" i="1"/>
  <c r="F67" i="1"/>
  <c r="F68" i="1"/>
  <c r="F69" i="1"/>
  <c r="F70" i="1"/>
  <c r="F71" i="1"/>
  <c r="F64" i="1"/>
  <c r="D66" i="1"/>
  <c r="D67" i="1" s="1"/>
  <c r="D68" i="1" s="1"/>
  <c r="D69" i="1" s="1"/>
  <c r="D70" i="1" s="1"/>
  <c r="D71" i="1" s="1"/>
  <c r="D72" i="1" s="1"/>
  <c r="D65" i="1"/>
  <c r="E61" i="1"/>
  <c r="G43" i="1"/>
  <c r="G44" i="1"/>
  <c r="G45" i="1"/>
  <c r="G46" i="1"/>
  <c r="G47" i="1"/>
  <c r="G48" i="1"/>
  <c r="G49" i="1"/>
  <c r="G50" i="1"/>
  <c r="G42" i="1"/>
  <c r="F50" i="1"/>
  <c r="F49" i="1"/>
  <c r="F48" i="1"/>
  <c r="F47" i="1"/>
  <c r="F46" i="1"/>
  <c r="F45" i="1"/>
  <c r="F44" i="1"/>
  <c r="F43" i="1"/>
  <c r="F42" i="1"/>
  <c r="E43" i="1"/>
  <c r="E42" i="1"/>
  <c r="D42" i="1"/>
  <c r="E38" i="1"/>
  <c r="E37" i="1"/>
  <c r="N66" i="1" l="1"/>
  <c r="N65" i="1"/>
  <c r="N69" i="1"/>
  <c r="N70" i="1"/>
  <c r="D43" i="1"/>
  <c r="D44" i="1" l="1"/>
  <c r="E44" i="1" s="1"/>
  <c r="D45" i="1" l="1"/>
  <c r="E45" i="1" s="1"/>
  <c r="D46" i="1" l="1"/>
  <c r="E46" i="1" s="1"/>
  <c r="D47" i="1" l="1"/>
  <c r="E47" i="1" s="1"/>
  <c r="D48" i="1" l="1"/>
  <c r="E48" i="1" s="1"/>
  <c r="D49" i="1" l="1"/>
  <c r="E49" i="1" s="1"/>
  <c r="D50" i="1" l="1"/>
  <c r="E50" i="1" s="1"/>
  <c r="E35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" i="1"/>
  <c r="E17" i="1"/>
  <c r="E16" i="1"/>
  <c r="E15" i="1"/>
  <c r="E14" i="1"/>
  <c r="E13" i="1"/>
  <c r="E11" i="1"/>
  <c r="E10" i="1"/>
  <c r="E12" i="1" s="1"/>
  <c r="E9" i="1"/>
  <c r="E8" i="1"/>
  <c r="E7" i="1"/>
  <c r="E4" i="1"/>
  <c r="E5" i="1" s="1"/>
  <c r="E3" i="1"/>
  <c r="E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<sst xmlns="http://schemas.openxmlformats.org/spreadsheetml/2006/main" count="206" uniqueCount="130">
  <si>
    <t>p_9</t>
  </si>
  <si>
    <t>ЧИСЛОВЫЕ ХАРАКЕТИРИСТИКИ</t>
  </si>
  <si>
    <t>объём</t>
  </si>
  <si>
    <t>минимум</t>
  </si>
  <si>
    <t>максимум</t>
  </si>
  <si>
    <t>размах</t>
  </si>
  <si>
    <t>Квартили:</t>
  </si>
  <si>
    <t>q0</t>
  </si>
  <si>
    <t>q1</t>
  </si>
  <si>
    <t>q2</t>
  </si>
  <si>
    <t>q3</t>
  </si>
  <si>
    <t>q4</t>
  </si>
  <si>
    <t>интерквартельный размах (IQR)</t>
  </si>
  <si>
    <t>мода</t>
  </si>
  <si>
    <t>медиана</t>
  </si>
  <si>
    <t>среднее</t>
  </si>
  <si>
    <t>дисперсия</t>
  </si>
  <si>
    <t>стандартное отклонение</t>
  </si>
  <si>
    <t>стандартная ошибка среднего</t>
  </si>
  <si>
    <t>Вариационный ряд</t>
  </si>
  <si>
    <t>Варианта, xi</t>
  </si>
  <si>
    <t>Частота, ni</t>
  </si>
  <si>
    <t>K=</t>
  </si>
  <si>
    <t>h=</t>
  </si>
  <si>
    <t>Группированный статистический ряд</t>
  </si>
  <si>
    <t>Начало интервала</t>
  </si>
  <si>
    <t>Конец интервала</t>
  </si>
  <si>
    <t>Группированная частота</t>
  </si>
  <si>
    <t>p(x)*n*h</t>
  </si>
  <si>
    <t xml:space="preserve">k = </t>
  </si>
  <si>
    <t>a=</t>
  </si>
  <si>
    <t>H0 - генеральная совокупность имеет нормальный закон распределения с параметрами m=4.74, sigma=2.87</t>
  </si>
  <si>
    <t>H1 - генеральная совокупность имеет закон распределения, отличный от нормального с параметрами m=4.74, sigma=2.87</t>
  </si>
  <si>
    <t>i</t>
  </si>
  <si>
    <t>Интервалы</t>
  </si>
  <si>
    <t>ni</t>
  </si>
  <si>
    <t>pi</t>
  </si>
  <si>
    <t>n*pi</t>
  </si>
  <si>
    <t>(ni-n*pi)^2/ni</t>
  </si>
  <si>
    <t>хи^2 набл</t>
  </si>
  <si>
    <t>хи^2 кр</t>
  </si>
  <si>
    <t>p-value</t>
  </si>
  <si>
    <t>хи^2 набл &gt; хи^2 кр =&gt; гипотеза H0 не согласуется на уровне 0.03, принимаем гипотезу H1</t>
  </si>
  <si>
    <t>1,6487E-5 &lt; 0.03 =&gt; гипотеза H0 не согласуется на уровне 0.03, принимаем гипотезу H1</t>
  </si>
  <si>
    <t>y</t>
  </si>
  <si>
    <t>x1</t>
  </si>
  <si>
    <t>x2</t>
  </si>
  <si>
    <t>x3</t>
  </si>
  <si>
    <t>x4</t>
  </si>
  <si>
    <t>y_x1</t>
  </si>
  <si>
    <t>y_x2</t>
  </si>
  <si>
    <t>y_x3</t>
  </si>
  <si>
    <t>y_x4</t>
  </si>
  <si>
    <t>r=</t>
  </si>
  <si>
    <t>R^2</t>
  </si>
  <si>
    <t>y_x=</t>
  </si>
  <si>
    <t>+</t>
  </si>
  <si>
    <t>*x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</si>
  <si>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</si>
  <si>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</si>
  <si>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</si>
  <si>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</si>
  <si>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</si>
  <si>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</si>
  <si>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</si>
  <si>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</si>
  <si>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</si>
  <si>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</si>
  <si>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</si>
  <si>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</si>
  <si>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</si>
  <si>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</si>
  <si>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</si>
  <si>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</si>
  <si>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</si>
  <si>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</si>
  <si>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</si>
  <si>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</si>
  <si>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</si>
  <si>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</si>
  <si>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97,0%</t>
  </si>
  <si>
    <t>Верхние 97,0%</t>
  </si>
  <si>
    <t>n-1</t>
  </si>
  <si>
    <t>Степени свободы</t>
  </si>
  <si>
    <t>Коэф детерм</t>
  </si>
  <si>
    <t>Нормир коэф детерм</t>
  </si>
  <si>
    <t>Выбираем эту модель</t>
  </si>
  <si>
    <t>pvalue =</t>
  </si>
  <si>
    <t>Для параметров:</t>
  </si>
  <si>
    <t>a</t>
  </si>
  <si>
    <t>b1</t>
  </si>
  <si>
    <t>b4</t>
  </si>
  <si>
    <r>
      <t xml:space="preserve">&lt; </t>
    </r>
    <r>
      <rPr>
        <sz val="11"/>
        <color theme="1"/>
        <rFont val="Calibri"/>
        <family val="2"/>
        <charset val="204"/>
      </rPr>
      <t>α(0,03)</t>
    </r>
    <r>
      <rPr>
        <sz val="11"/>
        <color theme="1"/>
        <rFont val="Calibri"/>
        <family val="2"/>
        <scheme val="minor"/>
      </rPr>
      <t xml:space="preserve"> =&gt; построенное уранение регрессии статистически значимо (на основании критерия Фишера)</t>
    </r>
  </si>
  <si>
    <t>y = 770.0699 + 10.0006x1 - 50.8497x3 + 2.1782x4 - уравнение множественной регрессии</t>
  </si>
  <si>
    <t>b3</t>
  </si>
  <si>
    <t>&lt; α(0,03) - параметр b3 значим</t>
  </si>
  <si>
    <t>&gt; α(0,03) - параметр b1 не значим</t>
  </si>
  <si>
    <t>&lt; α(0,03) - параметр a значим</t>
  </si>
  <si>
    <t>&lt; α(0,03) - параметр b4 значим</t>
  </si>
  <si>
    <t>Для ранжирования факторов найдем стандартизированные значения</t>
  </si>
  <si>
    <t>Ϭy =</t>
  </si>
  <si>
    <t>Ϭx1 =</t>
  </si>
  <si>
    <t>β1 =</t>
  </si>
  <si>
    <t>Ϭx4 =</t>
  </si>
  <si>
    <t>β4 =</t>
  </si>
  <si>
    <t>Ϭx3 =</t>
  </si>
  <si>
    <t>β3 =</t>
  </si>
  <si>
    <t>Т.к. β4 &gt; β3 &gt; β1, то β4 оказывает более сильное влияние на результат, чем β3, затем β1</t>
  </si>
  <si>
    <t>Отметим что увеличение переменной x4 на 1% приводит к увеличению результата y на 0.6399%</t>
  </si>
  <si>
    <t>Так как prob(Omnibus) и prob(Jarque-Bera) близки к 1, то остатки нормальные</t>
  </si>
  <si>
    <t>Так как Durbin-Watson находится между 0 и 4, то автокорреляция отсутствует</t>
  </si>
  <si>
    <t>Так как Cond. No. &gt; 2, то мультиколлинеарность осталась</t>
  </si>
  <si>
    <t>для a</t>
  </si>
  <si>
    <t>t_a=</t>
  </si>
  <si>
    <t>для b</t>
  </si>
  <si>
    <t>t_b=</t>
  </si>
  <si>
    <t>для r</t>
  </si>
  <si>
    <t>t_r=</t>
  </si>
  <si>
    <t>для F</t>
  </si>
  <si>
    <t>F=</t>
  </si>
  <si>
    <t>r &gt; 0 - связь прямая</t>
  </si>
  <si>
    <t>|r| &gt;= 0.7 - связь сильная</t>
  </si>
  <si>
    <t>ПОМЕНЯТЬ НАЗВАНИЕ ПЕРЕМЕННЫХ НА ПРАВИЛЬНОЕ</t>
  </si>
  <si>
    <t>ДОЛЖНЫ БЫТЬ ВЫВОДЫ</t>
  </si>
  <si>
    <t>Критерий стьюдента</t>
  </si>
  <si>
    <t>Выводы по мультиколлинеарности</t>
  </si>
  <si>
    <t>Мультиколлинеарность отсутствует</t>
  </si>
  <si>
    <t xml:space="preserve">Указать тип и тесноту связи </t>
  </si>
  <si>
    <t>(&gt; 0,03) - не значимо</t>
  </si>
  <si>
    <t>(&lt; 0,03) - значимо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</si>
</sst>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2"/>
      <charset val="204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1" applyAlignment="1">
      <alignment horizontal="center"/>
    </xf>
    <xf numFmtId="0" fontId="2" fillId="0" borderId="0" xfId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4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Border="1" applyAlignment="1"/>
    <xf numFmtId="0" fontId="0" fillId="3" borderId="2" xfId="0" applyFill="1" applyBorder="1" applyAlignment="1"/>
    <xf numFmtId="0" fontId="0" fillId="3" borderId="0" xfId="0" applyFill="1" applyAlignment="1">
      <alignment wrapText="1"/>
    </xf>
  </cellXfs>
  <cellStyles count="2">
    <cellStyle name="Обычный" xfId="0" builtinId="0"/>
    <cellStyle name="Обычный 2" xfId="1" xr:uid="{BE5E2329-B26A-448D-84FC-1A70736E9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'1'!$E$21</c:f>
              <c:strCache>
                <c:ptCount val="1"/>
                <c:pt idx="0">
                  <c:v>Частота, ni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'1'!$D$22:$D$35</c:f>
              <c:numCache>
                <c:formatCode>General</c:formatCode>
                <c:ptCount val="14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</c:numCache>
            </c:numRef>
          </c:xVal>
          <c:yVal>
            <c:numRef>
              <c:f>'1'!$E$22:$E$35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13</c:v>
                </c:pt>
                <c:pt idx="7">
                  <c:v>17</c:v>
                </c:pt>
                <c:pt idx="8">
                  <c:v>8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5-4AC4-A063-E3C9169FB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199519"/>
        <c:axId val="631198271"/>
      </c:scatterChart>
      <c:valAx>
        <c:axId val="63119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198271"/>
        <c:crosses val="autoZero"/>
        <c:crossBetween val="midCat"/>
      </c:valAx>
      <c:valAx>
        <c:axId val="6311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19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'1'!$F$41</c:f>
              <c:strCache>
                <c:ptCount val="1"/>
                <c:pt idx="0">
                  <c:v>Группированная 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'1'!$F$42:$F$50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11</c:v>
                </c:pt>
                <c:pt idx="3">
                  <c:v>6</c:v>
                </c:pt>
                <c:pt idx="4">
                  <c:v>30</c:v>
                </c:pt>
                <c:pt idx="5">
                  <c:v>8</c:v>
                </c:pt>
                <c:pt idx="6">
                  <c:v>16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6-4665-8F5D-4F2C7D91F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2306671"/>
        <c:axId val="692307087"/>
      </c:barChart>
      <c:lineChart>
        <c:grouping val="standard"/>
        <c:varyColors val="0"/>
        <c:ser>
          <c:idx val="1"/>
          <c:order val="1"/>
          <c:tx>
            <c:strRef>
              <c:f>'1'!$G$41</c:f>
              <c:strCache>
                <c:ptCount val="1"/>
                <c:pt idx="0">
                  <c:v>p(x)*n*h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'1'!$G$42:$G$50</c:f>
              <c:numCache>
                <c:formatCode>General</c:formatCode>
                <c:ptCount val="9"/>
                <c:pt idx="0">
                  <c:v>1.903880864963194</c:v>
                </c:pt>
                <c:pt idx="1">
                  <c:v>4.8043611265558868</c:v>
                </c:pt>
                <c:pt idx="2">
                  <c:v>9.419010909858434</c:v>
                </c:pt>
                <c:pt idx="3">
                  <c:v>14.346591609763779</c:v>
                </c:pt>
                <c:pt idx="4">
                  <c:v>16.977195589484658</c:v>
                </c:pt>
                <c:pt idx="5">
                  <c:v>15.608348329328368</c:v>
                </c:pt>
                <c:pt idx="6">
                  <c:v>11.148635725489559</c:v>
                </c:pt>
                <c:pt idx="7">
                  <c:v>6.1867174564244385</c:v>
                </c:pt>
                <c:pt idx="8">
                  <c:v>2.6673046367182045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6-4665-8F5D-4F2C7D91F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306671"/>
        <c:axId val="692307087"/>
      </c:lineChart>
      <c:catAx>
        <c:axId val="69230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307087"/>
        <c:crosses val="autoZero"/>
        <c:auto val="1"/>
        <c:lblAlgn val="ctr"/>
        <c:lblOffset val="100"/>
        <c:noMultiLvlLbl val="0"/>
      </c:catAx>
      <c:valAx>
        <c:axId val="6923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3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'2'!$E$1</c:f>
              <c:strCache>
                <c:ptCount val="1"/>
                <c:pt idx="0">
                  <c:v>x4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30785721098695"/>
                  <c:y val="9.90597343210871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'2'!$E$2:$E$21</c:f>
              <c:numCache>
                <c:formatCode>General</c:formatCode>
                <c:ptCount val="20"/>
                <c:pt idx="0">
                  <c:v>68</c:v>
                </c:pt>
                <c:pt idx="1">
                  <c:v>75</c:v>
                </c:pt>
                <c:pt idx="2">
                  <c:v>90</c:v>
                </c:pt>
                <c:pt idx="3">
                  <c:v>85</c:v>
                </c:pt>
                <c:pt idx="4">
                  <c:v>95</c:v>
                </c:pt>
                <c:pt idx="5">
                  <c:v>90</c:v>
                </c:pt>
                <c:pt idx="6">
                  <c:v>93</c:v>
                </c:pt>
                <c:pt idx="7">
                  <c:v>119</c:v>
                </c:pt>
                <c:pt idx="8">
                  <c:v>99</c:v>
                </c:pt>
                <c:pt idx="9">
                  <c:v>96</c:v>
                </c:pt>
                <c:pt idx="10">
                  <c:v>133</c:v>
                </c:pt>
                <c:pt idx="11">
                  <c:v>138</c:v>
                </c:pt>
                <c:pt idx="12">
                  <c:v>143</c:v>
                </c:pt>
                <c:pt idx="13">
                  <c:v>98</c:v>
                </c:pt>
                <c:pt idx="14">
                  <c:v>145</c:v>
                </c:pt>
                <c:pt idx="15">
                  <c:v>157</c:v>
                </c:pt>
                <c:pt idx="16">
                  <c:v>150</c:v>
                </c:pt>
                <c:pt idx="17">
                  <c:v>91</c:v>
                </c:pt>
                <c:pt idx="18">
                  <c:v>160</c:v>
                </c:pt>
                <c:pt idx="19">
                  <c:v>162</c:v>
                </c:pt>
              </c:numCache>
            </c:numRef>
          </c:xVal>
          <c:yVal>
            <c:numRef>
              <c:f>'2'!$A$2:$A$21</c:f>
              <c:numCache>
                <c:formatCode>General</c:formatCode>
                <c:ptCount val="20"/>
                <c:pt idx="0">
                  <c:v>221</c:v>
                </c:pt>
                <c:pt idx="1">
                  <c:v>232</c:v>
                </c:pt>
                <c:pt idx="2">
                  <c:v>243</c:v>
                </c:pt>
                <c:pt idx="3">
                  <c:v>256</c:v>
                </c:pt>
                <c:pt idx="4">
                  <c:v>276</c:v>
                </c:pt>
                <c:pt idx="5">
                  <c:v>287</c:v>
                </c:pt>
                <c:pt idx="6">
                  <c:v>298</c:v>
                </c:pt>
                <c:pt idx="7">
                  <c:v>301</c:v>
                </c:pt>
                <c:pt idx="8">
                  <c:v>324</c:v>
                </c:pt>
                <c:pt idx="9">
                  <c:v>367</c:v>
                </c:pt>
                <c:pt idx="10">
                  <c:v>389</c:v>
                </c:pt>
                <c:pt idx="11">
                  <c:v>412</c:v>
                </c:pt>
                <c:pt idx="12">
                  <c:v>435</c:v>
                </c:pt>
                <c:pt idx="13">
                  <c:v>449</c:v>
                </c:pt>
                <c:pt idx="14">
                  <c:v>456</c:v>
                </c:pt>
                <c:pt idx="15">
                  <c:v>478</c:v>
                </c:pt>
                <c:pt idx="16">
                  <c:v>492</c:v>
                </c:pt>
                <c:pt idx="17">
                  <c:v>501</c:v>
                </c:pt>
                <c:pt idx="18">
                  <c:v>513</c:v>
                </c:pt>
                <c:pt idx="19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7-4AFC-806C-9CD1FB174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500223"/>
        <c:axId val="629503967"/>
      </c:scatterChart>
      <c:valAx>
        <c:axId val="62950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03967"/>
        <c:crosses val="autoZero"/>
        <c:crossBetween val="midCat"/>
      </c:valAx>
      <c:valAx>
        <c:axId val="6295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0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4D1BFBFC-ACFA-42BA-9B13-37C6EECDE6B0}">
          <cx:tx>
            <cx:txData>
              <cx:f>_xlchart.v1.0</cx:f>
              <cx:v>p_9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chart" Target="../charts/chart3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20</xdr:row>
      <xdr:rowOff>152400</xdr:rowOff>
    </xdr:from>
    <xdr:to>
      <xdr:col>12</xdr:col>
      <xdr:colOff>590550</xdr:colOff>
      <xdr:row>35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799ACAC-F058-4C3F-BAE8-414B5A294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42862</xdr:rowOff>
    </xdr:from>
    <xdr:to>
      <xdr:col>15</xdr:col>
      <xdr:colOff>304800</xdr:colOff>
      <xdr:row>50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711DAAD-32EA-4335-9124-C1F2F648B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89647</xdr:colOff>
      <xdr:row>54</xdr:row>
      <xdr:rowOff>33618</xdr:rowOff>
    </xdr:from>
    <xdr:ext cx="3422374" cy="4063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1D210A7-62B9-47C4-973C-287B67537FE8}"/>
                </a:ext>
              </a:extLst>
            </xdr:cNvPr>
            <xdr:cNvSpPr txBox="1"/>
          </xdr:nvSpPr>
          <xdr:spPr>
            <a:xfrm>
              <a:off x="1918447" y="10701618"/>
              <a:ext cx="3422374" cy="4063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𝑝</m:t>
                  </m:r>
                  <m:d>
                    <m:d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n-U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𝜎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𝜋</m:t>
                          </m:r>
                        </m:e>
                      </m:rad>
                    </m:den>
                  </m:f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p>
                    <m:sSup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𝛾</m:t>
                      </m:r>
                    </m:e>
                    <m:sup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f>
                        <m:f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  <m: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𝑚</m:t>
                                  </m:r>
                                </m:e>
                              </m:d>
                            </m:e>
                            <m:sup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2∗</m:t>
                          </m:r>
                          <m:sSup>
                            <m:sSupPr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𝜎</m:t>
                              </m:r>
                            </m:e>
                            <m:sup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den>
                      </m:f>
                    </m:sup>
                  </m:sSup>
                </m:oMath>
              </a14:m>
              <a:r>
                <a:rPr lang="en-US" sz="1400"/>
                <a:t> 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2.87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𝜋</m:t>
                          </m:r>
                        </m:e>
                      </m:rad>
                    </m:den>
                  </m:f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p>
                    <m:sSup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𝛾</m:t>
                      </m:r>
                    </m:e>
                    <m:sup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f>
                        <m:fPr>
                          <m:ctrlP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  <m:r>
                                    <a:rPr lang="en-US" sz="14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−4.74</m:t>
                                  </m:r>
                                </m:e>
                              </m:d>
                            </m:e>
                            <m:sup>
                              <m:r>
                                <a:rPr lang="en-US" sz="1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16.4738</m:t>
                          </m:r>
                        </m:den>
                      </m:f>
                    </m:sup>
                  </m:sSup>
                </m:oMath>
              </a14:m>
              <a:r>
                <a:rPr lang="en-US" sz="1400"/>
                <a:t> </a:t>
              </a:r>
              <a:endParaRPr lang="ru-RU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1D210A7-62B9-47C4-973C-287B67537FE8}"/>
                </a:ext>
              </a:extLst>
            </xdr:cNvPr>
            <xdr:cNvSpPr txBox="1"/>
          </xdr:nvSpPr>
          <xdr:spPr>
            <a:xfrm>
              <a:off x="1918447" y="10701618"/>
              <a:ext cx="3422374" cy="4063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𝑝(𝑥)=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1/(𝜎√2𝜋)∗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^(−(𝑥−𝑚)^2/(2∗𝜎^2 ))</a:t>
              </a:r>
              <a:r>
                <a:rPr lang="en-US" sz="1400"/>
                <a:t>  =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1/(2.87√2𝜋)∗𝛾^(−(𝑥−4.74)^2/16.4738)</a:t>
              </a:r>
              <a:r>
                <a:rPr lang="en-US" sz="1400"/>
                <a:t> 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3</xdr:col>
      <xdr:colOff>56029</xdr:colOff>
      <xdr:row>57</xdr:row>
      <xdr:rowOff>56030</xdr:rowOff>
    </xdr:from>
    <xdr:ext cx="2049535" cy="3050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811B6F-F861-4DD3-AED1-00575BF68AB9}"/>
                </a:ext>
              </a:extLst>
            </xdr:cNvPr>
            <xdr:cNvSpPr txBox="1"/>
          </xdr:nvSpPr>
          <xdr:spPr>
            <a:xfrm>
              <a:off x="1888770" y="10914530"/>
              <a:ext cx="2049535" cy="3050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/>
                <a:t>F</a:t>
              </a:r>
              <a14:m>
                <m:oMath xmlns:m="http://schemas.openxmlformats.org/officeDocument/2006/math">
                  <m:d>
                    <m:d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ru-RU" sz="1400" b="0" i="1">
                      <a:latin typeface="Cambria Math" panose="02040503050406030204" pitchFamily="18" charset="0"/>
                    </a:rPr>
                    <m:t>Ф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−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𝑚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𝜎</m:t>
                      </m:r>
                    </m:den>
                  </m:f>
                </m:oMath>
              </a14:m>
              <a:r>
                <a:rPr lang="en-US" sz="1400"/>
                <a:t>) = </a:t>
              </a:r>
              <a:r>
                <a:rPr lang="ru-RU" sz="1400"/>
                <a:t>Ф</a:t>
              </a:r>
              <a14:m>
                <m:oMath xmlns:m="http://schemas.openxmlformats.org/officeDocument/2006/math"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−4.74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2.87</m:t>
                      </m:r>
                    </m:den>
                  </m:f>
                </m:oMath>
              </a14:m>
              <a:r>
                <a:rPr lang="en-US" sz="14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ru-RU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811B6F-F861-4DD3-AED1-00575BF68AB9}"/>
                </a:ext>
              </a:extLst>
            </xdr:cNvPr>
            <xdr:cNvSpPr txBox="1"/>
          </xdr:nvSpPr>
          <xdr:spPr>
            <a:xfrm>
              <a:off x="1888770" y="10914530"/>
              <a:ext cx="2049535" cy="3050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0"/>
                <a:t>F</a:t>
              </a:r>
              <a:r>
                <a:rPr lang="en-US" sz="1400" b="0" i="0">
                  <a:latin typeface="Cambria Math" panose="02040503050406030204" pitchFamily="18" charset="0"/>
                </a:rPr>
                <a:t>(𝑥)=</a:t>
              </a:r>
              <a:r>
                <a:rPr lang="ru-RU" sz="1400" b="0" i="0">
                  <a:latin typeface="Cambria Math" panose="02040503050406030204" pitchFamily="18" charset="0"/>
                </a:rPr>
                <a:t>Ф</a:t>
              </a:r>
              <a:r>
                <a:rPr lang="en-US" sz="1400" b="0" i="0">
                  <a:latin typeface="Cambria Math" panose="02040503050406030204" pitchFamily="18" charset="0"/>
                </a:rPr>
                <a:t>((𝑥 −𝑚)/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r>
                <a:rPr lang="en-US" sz="1400"/>
                <a:t>) = </a:t>
              </a:r>
              <a:r>
                <a:rPr lang="ru-RU" sz="1400"/>
                <a:t>Ф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((𝑥 −4.74)/2.87</a:t>
              </a:r>
              <a:r>
                <a:rPr lang="en-US" sz="14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ru-RU" sz="1400"/>
            </a:p>
          </xdr:txBody>
        </xdr:sp>
      </mc:Fallback>
    </mc:AlternateContent>
    <xdr:clientData/>
  </xdr:oneCellAnchor>
  <xdr:twoCellAnchor editAs="oneCell">
    <xdr:from>
      <xdr:col>16</xdr:col>
      <xdr:colOff>71439</xdr:colOff>
      <xdr:row>17</xdr:row>
      <xdr:rowOff>62862</xdr:rowOff>
    </xdr:from>
    <xdr:to>
      <xdr:col>23</xdr:col>
      <xdr:colOff>394607</xdr:colOff>
      <xdr:row>44</xdr:row>
      <xdr:rowOff>122993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CCC96DA-7073-3E01-2C20-9027EDB6A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8725" y="3301362"/>
          <a:ext cx="4609418" cy="520363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46</xdr:row>
      <xdr:rowOff>47625</xdr:rowOff>
    </xdr:from>
    <xdr:to>
      <xdr:col>25</xdr:col>
      <xdr:colOff>134133</xdr:colOff>
      <xdr:row>68</xdr:row>
      <xdr:rowOff>143473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F676DDD-310D-2F57-6BC5-ADB764D0C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87375" y="8810625"/>
          <a:ext cx="5611008" cy="4286848"/>
        </a:xfrm>
        <a:prstGeom prst="rect">
          <a:avLst/>
        </a:prstGeom>
      </xdr:spPr>
    </xdr:pic>
    <xdr:clientData/>
  </xdr:twoCellAnchor>
  <xdr:twoCellAnchor editAs="oneCell">
    <xdr:from>
      <xdr:col>25</xdr:col>
      <xdr:colOff>238126</xdr:colOff>
      <xdr:row>26</xdr:row>
      <xdr:rowOff>129886</xdr:rowOff>
    </xdr:from>
    <xdr:to>
      <xdr:col>34</xdr:col>
      <xdr:colOff>70891</xdr:colOff>
      <xdr:row>48</xdr:row>
      <xdr:rowOff>187629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DEB6A97-D6C9-B2C9-31CE-23C1FD38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33944" y="5082886"/>
          <a:ext cx="5287992" cy="424874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0</xdr:row>
      <xdr:rowOff>0</xdr:rowOff>
    </xdr:from>
    <xdr:to>
      <xdr:col>11</xdr:col>
      <xdr:colOff>149680</xdr:colOff>
      <xdr:row>19</xdr:row>
      <xdr:rowOff>50622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6B46976-A162-F722-5F59-4182A186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3072" y="0"/>
          <a:ext cx="3279322" cy="3670122"/>
        </a:xfrm>
        <a:prstGeom prst="rect">
          <a:avLst/>
        </a:prstGeom>
      </xdr:spPr>
    </xdr:pic>
    <xdr:clientData/>
  </xdr:twoCellAnchor>
  <xdr:twoCellAnchor>
    <xdr:from>
      <xdr:col>13</xdr:col>
      <xdr:colOff>40821</xdr:colOff>
      <xdr:row>1</xdr:row>
      <xdr:rowOff>118382</xdr:rowOff>
    </xdr:from>
    <xdr:to>
      <xdr:col>20</xdr:col>
      <xdr:colOff>13607</xdr:colOff>
      <xdr:row>16</xdr:row>
      <xdr:rowOff>4082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22719C05-8DE4-B36F-9094-547E17C54F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5046" y="308882"/>
              <a:ext cx="455431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103910</xdr:colOff>
      <xdr:row>0</xdr:row>
      <xdr:rowOff>0</xdr:rowOff>
    </xdr:from>
    <xdr:to>
      <xdr:col>32</xdr:col>
      <xdr:colOff>385961</xdr:colOff>
      <xdr:row>22</xdr:row>
      <xdr:rowOff>162533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FFF5615-C579-8868-6B74-AD70E7615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99728" y="0"/>
          <a:ext cx="4525006" cy="4353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272143</xdr:colOff>
      <xdr:row>35</xdr:row>
      <xdr:rowOff>91167</xdr:rowOff>
    </xdr:from>
    <xdr:to>
      <xdr:col>2</xdr:col>
      <xdr:colOff>1170214</xdr:colOff>
      <xdr:row>47</xdr:row>
      <xdr:rowOff>107495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9A90F8-BEB5-6967-5FD3-BD0DE80B4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1183823</xdr:colOff>
      <xdr:row>8</xdr:row>
      <xdr:rowOff>176893</xdr:rowOff>
    </xdr:from>
    <xdr:to>
      <xdr:col>9</xdr:col>
      <xdr:colOff>48358</xdr:colOff>
      <xdr:row>30</xdr:row>
      <xdr:rowOff>47056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D1684C2-CBB4-4A49-B51E-E09DCDB0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8894" y="2095500"/>
          <a:ext cx="3640643" cy="425166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1143000</xdr:colOff>
      <xdr:row>30</xdr:row>
      <xdr:rowOff>54429</xdr:rowOff>
    </xdr:from>
    <xdr:to>
      <xdr:col>9</xdr:col>
      <xdr:colOff>333908</xdr:colOff>
      <xdr:row>47</xdr:row>
      <xdr:rowOff>165230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BB817BC-465B-4E8D-B302-798C9858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8071" y="6354536"/>
          <a:ext cx="3967016" cy="3417337"/>
        </a:xfrm>
        <a:prstGeom prst="rect">
          <a:avLst/>
        </a:prstGeom>
      </xdr:spPr>
    </xdr:pic>
    <xdr:clientData/>
  </xdr:twoCellAnchor>
  <xdr:twoCellAnchor editAs="oneCell">
    <xdr:from>
      <xdr:col>5</xdr:col>
      <xdr:colOff>1074965</xdr:colOff>
      <xdr:row>48</xdr:row>
      <xdr:rowOff>0</xdr:rowOff>
    </xdr:from>
    <xdr:to>
      <xdr:col>9</xdr:col>
      <xdr:colOff>519132</xdr:colOff>
      <xdr:row>53</xdr:row>
      <xdr:rowOff>163313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A625C0A-FCD9-4FA2-A909-5579EC6F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50036" y="9797143"/>
          <a:ext cx="4220275" cy="1143027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</xdr:colOff>
      <xdr:row>77</xdr:row>
      <xdr:rowOff>34636</xdr:rowOff>
    </xdr:from>
    <xdr:to>
      <xdr:col>6</xdr:col>
      <xdr:colOff>162142</xdr:colOff>
      <xdr:row>122</xdr:row>
      <xdr:rowOff>153246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9DCE912-FA48-462A-9ED7-E4407127F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18" y="15880772"/>
          <a:ext cx="8751960" cy="8691110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346365</xdr:colOff>
      <xdr:row>77</xdr:row>
      <xdr:rowOff>17318</xdr:rowOff>
    </xdr:from>
    <xdr:to>
      <xdr:col>15</xdr:col>
      <xdr:colOff>887797</xdr:colOff>
      <xdr:row>108</xdr:row>
      <xdr:rowOff>79522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5600542-470F-49C3-9D5C-F9C0283C1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53501" y="15863454"/>
          <a:ext cx="9217841" cy="5967704"/>
        </a:xfrm>
        <a:prstGeom prst="rect">
          <a:avLst/>
        </a:prstGeom>
      </xdr:spPr>
    </xdr:pic>
    <xdr:clientData/>
  </xdr:twoCellAnchor>
  <xdr:twoCellAnchor editAs="oneCell">
    <xdr:from>
      <xdr:col>22</xdr:col>
      <xdr:colOff>363683</xdr:colOff>
      <xdr:row>32</xdr:row>
      <xdr:rowOff>51955</xdr:rowOff>
    </xdr:from>
    <xdr:to>
      <xdr:col>32</xdr:col>
      <xdr:colOff>60731</xdr:colOff>
      <xdr:row>72</xdr:row>
      <xdr:rowOff>166740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FA420D8-1282-4885-AD6A-D3DA41EE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33683" y="6736773"/>
          <a:ext cx="5758412" cy="8323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zoomScaleNormal="100" workbookViewId="0">
      <selection activeCell="D9" sqref="D9"/>
    </sheetView>
  </sheetViews>
  <sheetFormatPr defaultRowHeight="15" x14ac:dyDescent="0.25"/>
  <cols>
    <col min="4" max="4" width="30.85546875" customWidth="1"/>
    <col min="5" max="5" width="17.42578125" customWidth="1"/>
    <col min="6" max="6" width="23.42578125" customWidth="1"/>
    <col min="11" max="11" width="10.140625" bestFit="1" customWidth="1"/>
    <col min="14" max="14" width="13.85546875" customWidth="1"/>
  </cols>
  <sheetData>
    <row r="1" spans="1:5" x14ac:dyDescent="0.25">
      <c r="A1" t="s">
        <v>0</v>
      </c>
      <c r="D1" t="s">
        <v>1</v>
      </c>
    </row>
    <row r="2" spans="1:5" x14ac:dyDescent="0.25">
      <c r="A2">
        <v>-2</v>
      </c>
      <c r="D2" s="1" t="s">
        <v>2</v>
      </c>
      <c r="E2" s="1">
        <f>COUNT(A2:A111)</f>
        <v>85</v>
      </c>
    </row>
    <row r="3" spans="1:5" x14ac:dyDescent="0.25">
      <c r="A3">
        <v>-2</v>
      </c>
      <c r="D3" s="1" t="s">
        <v>3</v>
      </c>
      <c r="E3" s="1">
        <f>MIN(A2:A111)</f>
        <v>-2</v>
      </c>
    </row>
    <row r="4" spans="1:5" x14ac:dyDescent="0.25">
      <c r="A4">
        <v>-1</v>
      </c>
      <c r="D4" s="1" t="s">
        <v>4</v>
      </c>
      <c r="E4" s="1">
        <f>MAX(A2:A111)</f>
        <v>11</v>
      </c>
    </row>
    <row r="5" spans="1:5" x14ac:dyDescent="0.25">
      <c r="A5">
        <v>-1</v>
      </c>
      <c r="D5" s="1" t="s">
        <v>5</v>
      </c>
      <c r="E5" s="1">
        <f>E4-E3</f>
        <v>13</v>
      </c>
    </row>
    <row r="6" spans="1:5" x14ac:dyDescent="0.25">
      <c r="A6">
        <v>0</v>
      </c>
      <c r="D6" s="1" t="s">
        <v>6</v>
      </c>
      <c r="E6" s="1"/>
    </row>
    <row r="7" spans="1:5" x14ac:dyDescent="0.25">
      <c r="A7">
        <v>0</v>
      </c>
      <c r="D7" s="1" t="s">
        <v>7</v>
      </c>
      <c r="E7" s="1">
        <f>QUARTILE(A2:A111,0)</f>
        <v>-2</v>
      </c>
    </row>
    <row r="8" spans="1:5" x14ac:dyDescent="0.25">
      <c r="A8">
        <v>0</v>
      </c>
      <c r="D8" s="1" t="s">
        <v>8</v>
      </c>
      <c r="E8" s="1">
        <f>QUARTILE(A2:A111,1)</f>
        <v>3</v>
      </c>
    </row>
    <row r="9" spans="1:5" x14ac:dyDescent="0.25">
      <c r="A9">
        <v>1</v>
      </c>
      <c r="D9" s="1" t="s">
        <v>9</v>
      </c>
      <c r="E9" s="1">
        <f>QUARTILE(A2:A111,2)</f>
        <v>5</v>
      </c>
    </row>
    <row r="10" spans="1:5" x14ac:dyDescent="0.25">
      <c r="A10">
        <v>1</v>
      </c>
      <c r="D10" s="1" t="s">
        <v>10</v>
      </c>
      <c r="E10" s="1">
        <f>QUARTILE(A2:A111,3)</f>
        <v>7</v>
      </c>
    </row>
    <row r="11" spans="1:5" x14ac:dyDescent="0.25">
      <c r="A11">
        <v>1</v>
      </c>
      <c r="D11" s="1" t="s">
        <v>11</v>
      </c>
      <c r="E11" s="1">
        <f>QUARTILE(A2:A111,4)</f>
        <v>11</v>
      </c>
    </row>
    <row r="12" spans="1:5" x14ac:dyDescent="0.25">
      <c r="A12">
        <v>1</v>
      </c>
      <c r="D12" s="1" t="s">
        <v>12</v>
      </c>
      <c r="E12" s="1">
        <f>E10-E8</f>
        <v>4</v>
      </c>
    </row>
    <row r="13" spans="1:5" x14ac:dyDescent="0.25">
      <c r="A13">
        <v>1</v>
      </c>
      <c r="D13" s="1" t="s">
        <v>13</v>
      </c>
      <c r="E13" s="1">
        <f>MODE(A2:A111)</f>
        <v>5</v>
      </c>
    </row>
    <row r="14" spans="1:5" x14ac:dyDescent="0.25">
      <c r="A14">
        <v>1</v>
      </c>
      <c r="D14" s="1" t="s">
        <v>14</v>
      </c>
      <c r="E14" s="1">
        <f>MEDIAN(A2:A111)</f>
        <v>5</v>
      </c>
    </row>
    <row r="15" spans="1:5" x14ac:dyDescent="0.25">
      <c r="A15">
        <v>2</v>
      </c>
      <c r="D15" s="1" t="s">
        <v>15</v>
      </c>
      <c r="E15" s="1">
        <f>AVERAGE(A2:A111)</f>
        <v>4.7411764705882353</v>
      </c>
    </row>
    <row r="16" spans="1:5" x14ac:dyDescent="0.25">
      <c r="A16">
        <v>2</v>
      </c>
      <c r="D16" s="1" t="s">
        <v>16</v>
      </c>
      <c r="E16" s="1">
        <f>_xlfn.VAR.S(A2:A111)</f>
        <v>8.265546218487394</v>
      </c>
    </row>
    <row r="17" spans="1:5" x14ac:dyDescent="0.25">
      <c r="A17">
        <v>2</v>
      </c>
      <c r="D17" s="1" t="s">
        <v>17</v>
      </c>
      <c r="E17" s="1">
        <f>_xlfn.STDEV.S(A2:A111)</f>
        <v>2.8749862988347257</v>
      </c>
    </row>
    <row r="18" spans="1:5" x14ac:dyDescent="0.25">
      <c r="A18">
        <v>2</v>
      </c>
      <c r="D18" s="1" t="s">
        <v>18</v>
      </c>
      <c r="E18" s="1">
        <f>E17/SQRT(E2)</f>
        <v>0.31183604701429046</v>
      </c>
    </row>
    <row r="19" spans="1:5" x14ac:dyDescent="0.25">
      <c r="A19">
        <v>2</v>
      </c>
    </row>
    <row r="20" spans="1:5" x14ac:dyDescent="0.25">
      <c r="A20">
        <v>3</v>
      </c>
      <c r="D20" t="s">
        <v>19</v>
      </c>
    </row>
    <row r="21" spans="1:5" x14ac:dyDescent="0.25">
      <c r="A21">
        <v>3</v>
      </c>
      <c r="D21" s="1" t="s">
        <v>20</v>
      </c>
      <c r="E21" s="1" t="s">
        <v>21</v>
      </c>
    </row>
    <row r="22" spans="1:5" x14ac:dyDescent="0.25">
      <c r="A22">
        <v>3</v>
      </c>
      <c r="D22" s="1">
        <v>-2</v>
      </c>
      <c r="E22" s="1">
        <f>COUNTIF($A$2:$A$111,D22)</f>
        <v>2</v>
      </c>
    </row>
    <row r="23" spans="1:5" x14ac:dyDescent="0.25">
      <c r="A23">
        <v>3</v>
      </c>
      <c r="D23" s="1">
        <v>-1</v>
      </c>
      <c r="E23" s="1">
        <f t="shared" ref="E23:E35" si="0">COUNTIF($A$2:$A$111,D23)</f>
        <v>2</v>
      </c>
    </row>
    <row r="24" spans="1:5" x14ac:dyDescent="0.25">
      <c r="A24">
        <v>3</v>
      </c>
      <c r="D24" s="1">
        <v>0</v>
      </c>
      <c r="E24" s="1">
        <f t="shared" si="0"/>
        <v>3</v>
      </c>
    </row>
    <row r="25" spans="1:5" x14ac:dyDescent="0.25">
      <c r="A25">
        <v>3</v>
      </c>
      <c r="D25" s="1">
        <v>1</v>
      </c>
      <c r="E25" s="1">
        <f t="shared" si="0"/>
        <v>6</v>
      </c>
    </row>
    <row r="26" spans="1:5" x14ac:dyDescent="0.25">
      <c r="A26">
        <v>4</v>
      </c>
      <c r="D26" s="1">
        <v>2</v>
      </c>
      <c r="E26" s="1">
        <f t="shared" si="0"/>
        <v>5</v>
      </c>
    </row>
    <row r="27" spans="1:5" x14ac:dyDescent="0.25">
      <c r="A27">
        <v>4</v>
      </c>
      <c r="D27" s="1">
        <v>3</v>
      </c>
      <c r="E27" s="1">
        <f t="shared" si="0"/>
        <v>6</v>
      </c>
    </row>
    <row r="28" spans="1:5" x14ac:dyDescent="0.25">
      <c r="A28">
        <v>4</v>
      </c>
      <c r="D28" s="1">
        <v>4</v>
      </c>
      <c r="E28" s="1">
        <f t="shared" si="0"/>
        <v>13</v>
      </c>
    </row>
    <row r="29" spans="1:5" x14ac:dyDescent="0.25">
      <c r="A29">
        <v>4</v>
      </c>
      <c r="D29" s="1">
        <v>5</v>
      </c>
      <c r="E29" s="1">
        <f t="shared" si="0"/>
        <v>17</v>
      </c>
    </row>
    <row r="30" spans="1:5" x14ac:dyDescent="0.25">
      <c r="A30">
        <v>4</v>
      </c>
      <c r="D30" s="1">
        <v>6</v>
      </c>
      <c r="E30" s="1">
        <f t="shared" si="0"/>
        <v>8</v>
      </c>
    </row>
    <row r="31" spans="1:5" x14ac:dyDescent="0.25">
      <c r="A31">
        <v>4</v>
      </c>
      <c r="D31" s="1">
        <v>7</v>
      </c>
      <c r="E31" s="1">
        <f t="shared" si="0"/>
        <v>5</v>
      </c>
    </row>
    <row r="32" spans="1:5" x14ac:dyDescent="0.25">
      <c r="A32">
        <v>4</v>
      </c>
      <c r="D32" s="1">
        <v>8</v>
      </c>
      <c r="E32" s="1">
        <f t="shared" si="0"/>
        <v>11</v>
      </c>
    </row>
    <row r="33" spans="1:7" x14ac:dyDescent="0.25">
      <c r="A33">
        <v>4</v>
      </c>
      <c r="D33" s="1">
        <v>9</v>
      </c>
      <c r="E33" s="1">
        <f t="shared" si="0"/>
        <v>4</v>
      </c>
    </row>
    <row r="34" spans="1:7" x14ac:dyDescent="0.25">
      <c r="A34">
        <v>4</v>
      </c>
      <c r="D34" s="1">
        <v>10</v>
      </c>
      <c r="E34" s="1">
        <f t="shared" si="0"/>
        <v>2</v>
      </c>
    </row>
    <row r="35" spans="1:7" x14ac:dyDescent="0.25">
      <c r="A35">
        <v>4</v>
      </c>
      <c r="D35" s="1">
        <v>11</v>
      </c>
      <c r="E35" s="1">
        <f t="shared" si="0"/>
        <v>1</v>
      </c>
    </row>
    <row r="36" spans="1:7" x14ac:dyDescent="0.25">
      <c r="A36">
        <v>4</v>
      </c>
      <c r="D36" s="2"/>
      <c r="E36" s="2"/>
    </row>
    <row r="37" spans="1:7" x14ac:dyDescent="0.25">
      <c r="A37">
        <v>4</v>
      </c>
      <c r="D37" t="s">
        <v>22</v>
      </c>
      <c r="E37">
        <f>TRUNC(5*LOG10(E2))</f>
        <v>9</v>
      </c>
    </row>
    <row r="38" spans="1:7" x14ac:dyDescent="0.25">
      <c r="A38">
        <v>4</v>
      </c>
      <c r="D38" t="s">
        <v>23</v>
      </c>
      <c r="E38">
        <f>E5/E37</f>
        <v>1.4444444444444444</v>
      </c>
    </row>
    <row r="39" spans="1:7" x14ac:dyDescent="0.25">
      <c r="A39">
        <v>5</v>
      </c>
      <c r="D39" s="2"/>
      <c r="E39" s="2"/>
    </row>
    <row r="40" spans="1:7" x14ac:dyDescent="0.25">
      <c r="A40">
        <v>5</v>
      </c>
      <c r="D40" t="s">
        <v>24</v>
      </c>
    </row>
    <row r="41" spans="1:7" x14ac:dyDescent="0.25">
      <c r="A41">
        <v>5</v>
      </c>
      <c r="D41" s="1" t="s">
        <v>25</v>
      </c>
      <c r="E41" s="1" t="s">
        <v>26</v>
      </c>
      <c r="F41" s="1" t="s">
        <v>27</v>
      </c>
      <c r="G41" s="1" t="s">
        <v>28</v>
      </c>
    </row>
    <row r="42" spans="1:7" x14ac:dyDescent="0.25">
      <c r="A42">
        <v>5</v>
      </c>
      <c r="D42" s="1">
        <f>D22</f>
        <v>-2</v>
      </c>
      <c r="E42" s="1">
        <f>D42+$E$38</f>
        <v>-0.55555555555555558</v>
      </c>
      <c r="F42" s="1">
        <f>SUM(E22:E23)</f>
        <v>4</v>
      </c>
      <c r="G42" s="1">
        <f>_xlfn.NORM.DIST((D42+E42)/2,$E$15,$E$17,0)*$E$2*$E$38</f>
        <v>1.903880864963194</v>
      </c>
    </row>
    <row r="43" spans="1:7" x14ac:dyDescent="0.25">
      <c r="A43">
        <v>5</v>
      </c>
      <c r="D43" s="1">
        <f>E42</f>
        <v>-0.55555555555555558</v>
      </c>
      <c r="E43" s="1">
        <f t="shared" ref="E43:E50" si="1">D43+$E$38</f>
        <v>0.88888888888888884</v>
      </c>
      <c r="F43" s="1">
        <f>SUM(E24)</f>
        <v>3</v>
      </c>
      <c r="G43" s="1">
        <f t="shared" ref="G43:G50" si="2">_xlfn.NORM.DIST((D43+E43)/2,$E$15,$E$17,0)*$E$2*$E$38</f>
        <v>4.8043611265558868</v>
      </c>
    </row>
    <row r="44" spans="1:7" x14ac:dyDescent="0.25">
      <c r="A44">
        <v>5</v>
      </c>
      <c r="D44" s="1">
        <f t="shared" ref="D44:D50" si="3">E43</f>
        <v>0.88888888888888884</v>
      </c>
      <c r="E44" s="1">
        <f t="shared" si="1"/>
        <v>2.333333333333333</v>
      </c>
      <c r="F44" s="1">
        <f>SUM(E25:E26)</f>
        <v>11</v>
      </c>
      <c r="G44" s="1">
        <f t="shared" si="2"/>
        <v>9.419010909858434</v>
      </c>
    </row>
    <row r="45" spans="1:7" x14ac:dyDescent="0.25">
      <c r="A45">
        <v>5</v>
      </c>
      <c r="D45" s="1">
        <f t="shared" si="3"/>
        <v>2.333333333333333</v>
      </c>
      <c r="E45" s="1">
        <f t="shared" si="1"/>
        <v>3.7777777777777777</v>
      </c>
      <c r="F45" s="1">
        <f>SUM(E27)</f>
        <v>6</v>
      </c>
      <c r="G45" s="1">
        <f t="shared" si="2"/>
        <v>14.346591609763779</v>
      </c>
    </row>
    <row r="46" spans="1:7" x14ac:dyDescent="0.25">
      <c r="A46">
        <v>5</v>
      </c>
      <c r="D46" s="1">
        <f t="shared" si="3"/>
        <v>3.7777777777777777</v>
      </c>
      <c r="E46" s="1">
        <f t="shared" si="1"/>
        <v>5.2222222222222223</v>
      </c>
      <c r="F46" s="1">
        <f>SUM(E28:E29)</f>
        <v>30</v>
      </c>
      <c r="G46" s="1">
        <f t="shared" si="2"/>
        <v>16.977195589484658</v>
      </c>
    </row>
    <row r="47" spans="1:7" x14ac:dyDescent="0.25">
      <c r="A47">
        <v>5</v>
      </c>
      <c r="D47" s="1">
        <f t="shared" si="3"/>
        <v>5.2222222222222223</v>
      </c>
      <c r="E47" s="1">
        <f t="shared" si="1"/>
        <v>6.666666666666667</v>
      </c>
      <c r="F47" s="1">
        <f>SUM(E30)</f>
        <v>8</v>
      </c>
      <c r="G47" s="1">
        <f t="shared" si="2"/>
        <v>15.608348329328368</v>
      </c>
    </row>
    <row r="48" spans="1:7" x14ac:dyDescent="0.25">
      <c r="A48">
        <v>5</v>
      </c>
      <c r="D48" s="1">
        <f t="shared" si="3"/>
        <v>6.666666666666667</v>
      </c>
      <c r="E48" s="1">
        <f t="shared" si="1"/>
        <v>8.1111111111111107</v>
      </c>
      <c r="F48" s="1">
        <f>SUM(E31:E32)</f>
        <v>16</v>
      </c>
      <c r="G48" s="1">
        <f t="shared" si="2"/>
        <v>11.148635725489559</v>
      </c>
    </row>
    <row r="49" spans="1:14" x14ac:dyDescent="0.25">
      <c r="A49">
        <v>5</v>
      </c>
      <c r="D49" s="1">
        <f t="shared" si="3"/>
        <v>8.1111111111111107</v>
      </c>
      <c r="E49" s="1">
        <f t="shared" si="1"/>
        <v>9.5555555555555554</v>
      </c>
      <c r="F49" s="1">
        <f>SUM(E33)</f>
        <v>4</v>
      </c>
      <c r="G49" s="1">
        <f t="shared" si="2"/>
        <v>6.1867174564244385</v>
      </c>
    </row>
    <row r="50" spans="1:14" x14ac:dyDescent="0.25">
      <c r="A50">
        <v>5</v>
      </c>
      <c r="D50" s="1">
        <f t="shared" si="3"/>
        <v>9.5555555555555554</v>
      </c>
      <c r="E50" s="1">
        <f t="shared" si="1"/>
        <v>11</v>
      </c>
      <c r="F50" s="1">
        <f>SUM(E34:E35)</f>
        <v>3</v>
      </c>
      <c r="G50" s="1">
        <f t="shared" si="2"/>
        <v>2.6673046367182045</v>
      </c>
    </row>
    <row r="51" spans="1:14" x14ac:dyDescent="0.25">
      <c r="A51">
        <v>5</v>
      </c>
    </row>
    <row r="52" spans="1:14" x14ac:dyDescent="0.25">
      <c r="A52">
        <v>5</v>
      </c>
      <c r="D52" t="s">
        <v>31</v>
      </c>
    </row>
    <row r="53" spans="1:14" x14ac:dyDescent="0.25">
      <c r="A53">
        <v>5</v>
      </c>
      <c r="D53" t="s">
        <v>32</v>
      </c>
    </row>
    <row r="54" spans="1:14" x14ac:dyDescent="0.25">
      <c r="A54">
        <v>5</v>
      </c>
    </row>
    <row r="55" spans="1:14" x14ac:dyDescent="0.25">
      <c r="A55">
        <v>5</v>
      </c>
    </row>
    <row r="56" spans="1:14" x14ac:dyDescent="0.25">
      <c r="A56">
        <v>6</v>
      </c>
    </row>
    <row r="57" spans="1:14" x14ac:dyDescent="0.25">
      <c r="A57">
        <v>6</v>
      </c>
    </row>
    <row r="58" spans="1:14" x14ac:dyDescent="0.25">
      <c r="A58">
        <v>6</v>
      </c>
    </row>
    <row r="59" spans="1:14" x14ac:dyDescent="0.25">
      <c r="A59">
        <v>6</v>
      </c>
    </row>
    <row r="60" spans="1:14" x14ac:dyDescent="0.25">
      <c r="A60">
        <v>6</v>
      </c>
    </row>
    <row r="61" spans="1:14" x14ac:dyDescent="0.25">
      <c r="A61">
        <v>6</v>
      </c>
      <c r="D61" t="s">
        <v>29</v>
      </c>
      <c r="E61">
        <f>9 - 6 *TRUNC(9/6)</f>
        <v>3</v>
      </c>
    </row>
    <row r="62" spans="1:14" x14ac:dyDescent="0.25">
      <c r="A62">
        <v>6</v>
      </c>
      <c r="D62" t="s">
        <v>30</v>
      </c>
      <c r="E62">
        <v>0.03</v>
      </c>
    </row>
    <row r="63" spans="1:14" x14ac:dyDescent="0.25">
      <c r="A63">
        <v>6</v>
      </c>
      <c r="D63" s="3" t="s">
        <v>33</v>
      </c>
      <c r="E63" s="22" t="s">
        <v>34</v>
      </c>
      <c r="F63" s="22"/>
      <c r="G63" s="3" t="s">
        <v>35</v>
      </c>
      <c r="H63" s="3" t="s">
        <v>36</v>
      </c>
      <c r="I63" s="3" t="s">
        <v>37</v>
      </c>
      <c r="K63" s="3" t="s">
        <v>33</v>
      </c>
      <c r="L63" s="3" t="s">
        <v>35</v>
      </c>
      <c r="M63" s="3" t="s">
        <v>37</v>
      </c>
      <c r="N63" s="3" t="s">
        <v>38</v>
      </c>
    </row>
    <row r="64" spans="1:14" x14ac:dyDescent="0.25">
      <c r="A64">
        <v>7</v>
      </c>
      <c r="D64">
        <v>1</v>
      </c>
      <c r="E64">
        <v>-10000</v>
      </c>
      <c r="F64">
        <f>E42</f>
        <v>-0.55555555555555558</v>
      </c>
      <c r="G64">
        <f>F42</f>
        <v>4</v>
      </c>
      <c r="H64">
        <f>_xlfn.NORM.DIST(F64,$E$15,$E$17,1)-_xlfn.NORM.DIST(E64,$E$15,$E$17,1)</f>
        <v>3.2711959336240798E-2</v>
      </c>
      <c r="I64">
        <f>H64*$E$2</f>
        <v>2.7805165435804677</v>
      </c>
      <c r="K64">
        <f>D64</f>
        <v>1</v>
      </c>
      <c r="L64">
        <f>SUM(G64:G65)</f>
        <v>7</v>
      </c>
      <c r="M64">
        <f>SUM(I64:I65)</f>
        <v>7.6613598476569376</v>
      </c>
      <c r="N64" s="4">
        <f>(L64-M64)^2/L64</f>
        <v>6.2485264013258233E-2</v>
      </c>
    </row>
    <row r="65" spans="1:17" x14ac:dyDescent="0.25">
      <c r="A65">
        <v>7</v>
      </c>
      <c r="D65">
        <f>D64+1</f>
        <v>2</v>
      </c>
      <c r="E65">
        <f>D43</f>
        <v>-0.55555555555555558</v>
      </c>
      <c r="F65">
        <f t="shared" ref="F65:G71" si="4">E43</f>
        <v>0.88888888888888884</v>
      </c>
      <c r="G65">
        <f t="shared" si="4"/>
        <v>3</v>
      </c>
      <c r="H65">
        <f t="shared" ref="H65:H72" si="5">_xlfn.NORM.DIST(F65,$E$15,$E$17,1)-_xlfn.NORM.DIST(E65,$E$15,$E$17,1)</f>
        <v>5.7421685930311411E-2</v>
      </c>
      <c r="I65">
        <f t="shared" ref="I65:I72" si="6">H65*$E$2</f>
        <v>4.8808433040764703</v>
      </c>
      <c r="K65">
        <f t="shared" ref="K65:K70" si="7">D65</f>
        <v>2</v>
      </c>
      <c r="L65">
        <f>G66</f>
        <v>11</v>
      </c>
      <c r="M65">
        <f t="shared" ref="M65:M68" si="8">I66</f>
        <v>9.4365323984422105</v>
      </c>
      <c r="N65" s="4">
        <f t="shared" ref="N65:N70" si="9">(L65-M65)^2/L65</f>
        <v>0.22222099464735151</v>
      </c>
    </row>
    <row r="66" spans="1:17" x14ac:dyDescent="0.25">
      <c r="A66">
        <v>7</v>
      </c>
      <c r="D66">
        <f t="shared" ref="D66:D72" si="10">D65+1</f>
        <v>3</v>
      </c>
      <c r="E66">
        <f t="shared" ref="E66:E72" si="11">D44</f>
        <v>0.88888888888888884</v>
      </c>
      <c r="F66">
        <f t="shared" si="4"/>
        <v>2.333333333333333</v>
      </c>
      <c r="G66">
        <f t="shared" si="4"/>
        <v>11</v>
      </c>
      <c r="H66">
        <f t="shared" si="5"/>
        <v>0.11101802821696719</v>
      </c>
      <c r="I66">
        <f t="shared" si="6"/>
        <v>9.4365323984422105</v>
      </c>
      <c r="K66">
        <f t="shared" si="7"/>
        <v>3</v>
      </c>
      <c r="L66">
        <f t="shared" ref="L66:L68" si="12">G67</f>
        <v>6</v>
      </c>
      <c r="M66">
        <f t="shared" si="8"/>
        <v>14.248070766276653</v>
      </c>
      <c r="N66" s="4">
        <f t="shared" si="9"/>
        <v>11.338445227584588</v>
      </c>
    </row>
    <row r="67" spans="1:17" x14ac:dyDescent="0.25">
      <c r="A67">
        <v>7</v>
      </c>
      <c r="D67">
        <f t="shared" si="10"/>
        <v>4</v>
      </c>
      <c r="E67">
        <f t="shared" si="11"/>
        <v>2.333333333333333</v>
      </c>
      <c r="F67">
        <f t="shared" si="4"/>
        <v>3.7777777777777777</v>
      </c>
      <c r="G67">
        <f t="shared" si="4"/>
        <v>6</v>
      </c>
      <c r="H67">
        <f t="shared" si="5"/>
        <v>0.16762436195619593</v>
      </c>
      <c r="I67">
        <f t="shared" si="6"/>
        <v>14.248070766276653</v>
      </c>
      <c r="K67">
        <f t="shared" si="7"/>
        <v>4</v>
      </c>
      <c r="L67">
        <f t="shared" si="12"/>
        <v>30</v>
      </c>
      <c r="M67">
        <f t="shared" si="8"/>
        <v>16.801545993205597</v>
      </c>
      <c r="N67" s="4">
        <f t="shared" si="9"/>
        <v>5.8066396056489085</v>
      </c>
    </row>
    <row r="68" spans="1:17" x14ac:dyDescent="0.25">
      <c r="A68">
        <v>7</v>
      </c>
      <c r="D68">
        <f t="shared" si="10"/>
        <v>5</v>
      </c>
      <c r="E68">
        <f t="shared" si="11"/>
        <v>3.7777777777777777</v>
      </c>
      <c r="F68">
        <f t="shared" si="4"/>
        <v>5.2222222222222223</v>
      </c>
      <c r="G68">
        <f t="shared" si="4"/>
        <v>30</v>
      </c>
      <c r="H68">
        <f t="shared" si="5"/>
        <v>0.19766524697888938</v>
      </c>
      <c r="I68">
        <f t="shared" si="6"/>
        <v>16.801545993205597</v>
      </c>
      <c r="K68">
        <f t="shared" si="7"/>
        <v>5</v>
      </c>
      <c r="L68">
        <f t="shared" si="12"/>
        <v>8</v>
      </c>
      <c r="M68">
        <f t="shared" si="8"/>
        <v>15.473960727762258</v>
      </c>
      <c r="N68" s="4">
        <f t="shared" si="9"/>
        <v>6.982511120016567</v>
      </c>
    </row>
    <row r="69" spans="1:17" x14ac:dyDescent="0.25">
      <c r="A69">
        <v>8</v>
      </c>
      <c r="D69">
        <f t="shared" si="10"/>
        <v>6</v>
      </c>
      <c r="E69">
        <f t="shared" si="11"/>
        <v>5.2222222222222223</v>
      </c>
      <c r="F69">
        <f t="shared" si="4"/>
        <v>6.666666666666667</v>
      </c>
      <c r="G69">
        <f t="shared" si="4"/>
        <v>8</v>
      </c>
      <c r="H69">
        <f t="shared" si="5"/>
        <v>0.18204659679720303</v>
      </c>
      <c r="I69">
        <f t="shared" si="6"/>
        <v>15.473960727762258</v>
      </c>
      <c r="K69">
        <f t="shared" si="7"/>
        <v>6</v>
      </c>
      <c r="L69">
        <f>G70</f>
        <v>16</v>
      </c>
      <c r="M69">
        <f>I70</f>
        <v>11.13033004429148</v>
      </c>
      <c r="N69" s="4">
        <f t="shared" si="9"/>
        <v>1.482105342345639</v>
      </c>
    </row>
    <row r="70" spans="1:17" x14ac:dyDescent="0.25">
      <c r="A70">
        <v>8</v>
      </c>
      <c r="D70">
        <f t="shared" si="10"/>
        <v>7</v>
      </c>
      <c r="E70">
        <f t="shared" si="11"/>
        <v>6.666666666666667</v>
      </c>
      <c r="F70">
        <f t="shared" si="4"/>
        <v>8.1111111111111107</v>
      </c>
      <c r="G70">
        <f t="shared" si="4"/>
        <v>16</v>
      </c>
      <c r="H70">
        <f t="shared" si="5"/>
        <v>0.13094505934460565</v>
      </c>
      <c r="I70">
        <f t="shared" si="6"/>
        <v>11.13033004429148</v>
      </c>
      <c r="K70">
        <f t="shared" si="7"/>
        <v>7</v>
      </c>
      <c r="L70">
        <f>SUM(G71:G72)</f>
        <v>7</v>
      </c>
      <c r="M70">
        <f>SUM(I71:I72)</f>
        <v>10.248200222364861</v>
      </c>
      <c r="N70" s="4">
        <f t="shared" si="9"/>
        <v>1.5072578120815907</v>
      </c>
    </row>
    <row r="71" spans="1:17" x14ac:dyDescent="0.25">
      <c r="A71">
        <v>8</v>
      </c>
      <c r="D71">
        <f t="shared" si="10"/>
        <v>8</v>
      </c>
      <c r="E71">
        <f t="shared" si="11"/>
        <v>8.1111111111111107</v>
      </c>
      <c r="F71">
        <f t="shared" si="4"/>
        <v>9.5555555555555554</v>
      </c>
      <c r="G71">
        <f t="shared" si="4"/>
        <v>4</v>
      </c>
      <c r="H71">
        <f t="shared" si="5"/>
        <v>7.355820012399128E-2</v>
      </c>
      <c r="I71">
        <f t="shared" si="6"/>
        <v>6.2524470105392584</v>
      </c>
      <c r="N71" s="4"/>
    </row>
    <row r="72" spans="1:17" x14ac:dyDescent="0.25">
      <c r="A72">
        <v>8</v>
      </c>
      <c r="D72">
        <f t="shared" si="10"/>
        <v>9</v>
      </c>
      <c r="E72">
        <f t="shared" si="11"/>
        <v>9.5555555555555554</v>
      </c>
      <c r="F72">
        <f>10000</f>
        <v>10000</v>
      </c>
      <c r="G72">
        <f t="shared" ref="G72" si="13">F50</f>
        <v>3</v>
      </c>
      <c r="H72">
        <f t="shared" si="5"/>
        <v>4.7008861315595341E-2</v>
      </c>
      <c r="I72">
        <f t="shared" si="6"/>
        <v>3.9957532118256038</v>
      </c>
      <c r="N72" s="4">
        <f>SUM(N64:N70)</f>
        <v>27.401665366337905</v>
      </c>
      <c r="O72" t="s">
        <v>39</v>
      </c>
      <c r="Q72" t="s">
        <v>42</v>
      </c>
    </row>
    <row r="73" spans="1:17" x14ac:dyDescent="0.25">
      <c r="A73">
        <v>8</v>
      </c>
      <c r="N73">
        <f>_xlfn.CHISQ.INV.RT(E62,COUNT(L64:L70)-2-1)</f>
        <v>10.711898289670382</v>
      </c>
      <c r="O73" t="s">
        <v>40</v>
      </c>
    </row>
    <row r="74" spans="1:17" x14ac:dyDescent="0.25">
      <c r="A74">
        <v>8</v>
      </c>
    </row>
    <row r="75" spans="1:17" x14ac:dyDescent="0.25">
      <c r="A75">
        <v>8</v>
      </c>
      <c r="N75">
        <f>_xlfn.CHISQ.DIST.RT(N72,COUNT(L64:L70)-2-1)</f>
        <v>1.6487161911547202E-5</v>
      </c>
      <c r="O75" t="s">
        <v>41</v>
      </c>
      <c r="Q75" t="s">
        <v>43</v>
      </c>
    </row>
    <row r="76" spans="1:17" x14ac:dyDescent="0.25">
      <c r="A76">
        <v>8</v>
      </c>
      <c r="H76" s="3"/>
      <c r="I76" s="3"/>
      <c r="J76" s="3"/>
      <c r="K76" s="3"/>
    </row>
    <row r="77" spans="1:17" x14ac:dyDescent="0.25">
      <c r="A77">
        <v>8</v>
      </c>
      <c r="K77" s="4"/>
    </row>
    <row r="78" spans="1:17" x14ac:dyDescent="0.25">
      <c r="A78">
        <v>8</v>
      </c>
      <c r="K78" s="4"/>
    </row>
    <row r="79" spans="1:17" x14ac:dyDescent="0.25">
      <c r="A79">
        <v>8</v>
      </c>
      <c r="K79" s="4"/>
    </row>
    <row r="80" spans="1:17" x14ac:dyDescent="0.25">
      <c r="A80">
        <v>9</v>
      </c>
      <c r="K80" s="4"/>
    </row>
    <row r="81" spans="1:11" x14ac:dyDescent="0.25">
      <c r="A81">
        <v>9</v>
      </c>
      <c r="K81" s="4"/>
    </row>
    <row r="82" spans="1:11" x14ac:dyDescent="0.25">
      <c r="A82">
        <v>9</v>
      </c>
      <c r="K82" s="4"/>
    </row>
    <row r="83" spans="1:11" x14ac:dyDescent="0.25">
      <c r="A83">
        <v>9</v>
      </c>
      <c r="K83" s="4"/>
    </row>
    <row r="84" spans="1:11" x14ac:dyDescent="0.25">
      <c r="A84">
        <v>10</v>
      </c>
      <c r="K84" s="4"/>
    </row>
    <row r="85" spans="1:11" x14ac:dyDescent="0.25">
      <c r="A85">
        <v>10</v>
      </c>
      <c r="K85" s="4"/>
    </row>
    <row r="86" spans="1:11" x14ac:dyDescent="0.25">
      <c r="A86">
        <v>11</v>
      </c>
    </row>
  </sheetData>
  <sortState xmlns:xlrd2="http://schemas.microsoft.com/office/spreadsheetml/2017/richdata2" ref="A2:A86">
    <sortCondition ref="A1:A86"/>
  </sortState>
  <mergeCells count="1">
    <mergeCell ref="E63:F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0D3D-0342-403E-9643-497680906A9A}">
  <dimension ref="A1:AY76"/>
  <sheetViews>
    <sheetView tabSelected="1" topLeftCell="A10" zoomScale="55" zoomScaleNormal="55" workbookViewId="0">
      <selection activeCell="AL48" sqref="AL48"/>
    </sheetView>
  </sheetViews>
  <sheetFormatPr defaultRowHeight="15" x14ac:dyDescent="0.25"/>
  <cols>
    <col min="1" max="1" width="25.5703125" customWidth="1"/>
    <col min="2" max="2" width="18.5703125" customWidth="1"/>
    <col min="3" max="3" width="28.140625" customWidth="1"/>
    <col min="4" max="5" width="19.140625" customWidth="1"/>
    <col min="6" max="6" width="18.42578125" customWidth="1"/>
    <col min="7" max="7" width="17.5703125" customWidth="1"/>
    <col min="8" max="8" width="19.7109375" customWidth="1"/>
    <col min="9" max="9" width="15.85546875" customWidth="1"/>
    <col min="14" max="14" width="20.5703125" customWidth="1"/>
    <col min="15" max="15" width="20" customWidth="1"/>
    <col min="16" max="16" width="21.28515625" customWidth="1"/>
    <col min="17" max="17" width="20" customWidth="1"/>
    <col min="18" max="18" width="19" customWidth="1"/>
    <col min="19" max="19" width="21.28515625" customWidth="1"/>
    <col min="20" max="20" width="17" customWidth="1"/>
    <col min="21" max="21" width="20" customWidth="1"/>
    <col min="22" max="22" width="22.42578125" customWidth="1"/>
  </cols>
  <sheetData>
    <row r="1" spans="1:51" x14ac:dyDescent="0.2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G1" s="9"/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U1" s="5" t="s">
        <v>44</v>
      </c>
      <c r="V1" s="5" t="s">
        <v>46</v>
      </c>
      <c r="W1" s="5" t="s">
        <v>47</v>
      </c>
      <c r="X1" s="5" t="s">
        <v>48</v>
      </c>
      <c r="Z1" s="5" t="s">
        <v>44</v>
      </c>
      <c r="AA1" s="5" t="s">
        <v>45</v>
      </c>
      <c r="AB1" s="5" t="s">
        <v>47</v>
      </c>
      <c r="AC1" s="5" t="s">
        <v>48</v>
      </c>
      <c r="AE1" s="5" t="s">
        <v>44</v>
      </c>
      <c r="AF1" s="5" t="s">
        <v>45</v>
      </c>
      <c r="AG1" s="5" t="s">
        <v>46</v>
      </c>
      <c r="AH1" s="5" t="s">
        <v>48</v>
      </c>
      <c r="AI1" s="5"/>
      <c r="AJ1" s="5" t="s">
        <v>44</v>
      </c>
      <c r="AK1" s="5" t="s">
        <v>45</v>
      </c>
      <c r="AL1" s="5" t="s">
        <v>46</v>
      </c>
      <c r="AM1" s="5" t="s">
        <v>47</v>
      </c>
      <c r="AO1" s="5" t="s">
        <v>44</v>
      </c>
      <c r="AP1" s="5" t="s">
        <v>47</v>
      </c>
      <c r="AQ1" s="5" t="s">
        <v>48</v>
      </c>
      <c r="AS1" s="5" t="s">
        <v>44</v>
      </c>
      <c r="AT1" s="5" t="s">
        <v>45</v>
      </c>
      <c r="AU1" s="5" t="s">
        <v>48</v>
      </c>
      <c r="AW1" s="5" t="s">
        <v>44</v>
      </c>
      <c r="AX1" s="5" t="s">
        <v>45</v>
      </c>
      <c r="AY1" s="5" t="s">
        <v>47</v>
      </c>
    </row>
    <row r="2" spans="1:51" x14ac:dyDescent="0.25">
      <c r="A2" s="6">
        <v>221</v>
      </c>
      <c r="B2" s="6">
        <v>2.2000000000000002</v>
      </c>
      <c r="C2" s="6">
        <v>17.100000000000001</v>
      </c>
      <c r="D2" s="6">
        <v>13.5</v>
      </c>
      <c r="E2" s="6">
        <v>68</v>
      </c>
      <c r="G2" s="7" t="s">
        <v>44</v>
      </c>
      <c r="H2" s="7">
        <v>1</v>
      </c>
      <c r="I2" s="7"/>
      <c r="J2" s="7"/>
      <c r="K2" s="7"/>
      <c r="L2" s="7"/>
      <c r="O2" s="6">
        <v>221</v>
      </c>
      <c r="P2" s="6">
        <v>2.2000000000000002</v>
      </c>
      <c r="Q2" s="6">
        <v>17.100000000000001</v>
      </c>
      <c r="R2" s="6">
        <v>13.5</v>
      </c>
      <c r="S2" s="6">
        <v>68</v>
      </c>
      <c r="U2" s="6">
        <v>221</v>
      </c>
      <c r="V2" s="6">
        <v>17.100000000000001</v>
      </c>
      <c r="W2" s="6">
        <v>13.5</v>
      </c>
      <c r="X2" s="6">
        <v>68</v>
      </c>
      <c r="Z2" s="6">
        <v>221</v>
      </c>
      <c r="AA2" s="6">
        <v>2.2000000000000002</v>
      </c>
      <c r="AB2" s="6">
        <v>13.5</v>
      </c>
      <c r="AC2" s="6">
        <v>68</v>
      </c>
      <c r="AE2" s="6">
        <v>221</v>
      </c>
      <c r="AF2" s="6">
        <v>2.2000000000000002</v>
      </c>
      <c r="AG2" s="6">
        <v>17.100000000000001</v>
      </c>
      <c r="AH2" s="6">
        <v>68</v>
      </c>
      <c r="AI2" s="6"/>
      <c r="AJ2" s="6">
        <v>221</v>
      </c>
      <c r="AK2" s="6">
        <v>2.2000000000000002</v>
      </c>
      <c r="AL2" s="6">
        <v>17.100000000000001</v>
      </c>
      <c r="AM2" s="6">
        <v>13.5</v>
      </c>
      <c r="AO2" s="6">
        <v>221</v>
      </c>
      <c r="AP2" s="6">
        <v>13.5</v>
      </c>
      <c r="AQ2" s="6">
        <v>68</v>
      </c>
      <c r="AS2" s="6">
        <v>221</v>
      </c>
      <c r="AT2" s="6">
        <v>2.2000000000000002</v>
      </c>
      <c r="AU2" s="6">
        <v>68</v>
      </c>
      <c r="AW2" s="6">
        <v>221</v>
      </c>
      <c r="AX2" s="6">
        <v>2.2000000000000002</v>
      </c>
      <c r="AY2" s="6">
        <v>13.5</v>
      </c>
    </row>
    <row r="3" spans="1:51" x14ac:dyDescent="0.25">
      <c r="A3" s="6">
        <v>232</v>
      </c>
      <c r="B3" s="6">
        <v>3.6</v>
      </c>
      <c r="C3" s="6">
        <v>17.600000000000001</v>
      </c>
      <c r="D3" s="6">
        <v>14</v>
      </c>
      <c r="E3" s="6">
        <v>75</v>
      </c>
      <c r="G3" s="7" t="s">
        <v>45</v>
      </c>
      <c r="H3" s="7">
        <v>9.9978077694486425E-2</v>
      </c>
      <c r="I3" s="7">
        <v>1</v>
      </c>
      <c r="J3" s="7"/>
      <c r="K3" s="7"/>
      <c r="L3" s="7"/>
      <c r="O3" s="6">
        <v>232</v>
      </c>
      <c r="P3" s="6">
        <v>3.6</v>
      </c>
      <c r="Q3" s="6">
        <v>17.600000000000001</v>
      </c>
      <c r="R3" s="6">
        <v>14</v>
      </c>
      <c r="S3" s="6">
        <v>75</v>
      </c>
      <c r="U3" s="6">
        <v>232</v>
      </c>
      <c r="V3" s="6">
        <v>17.600000000000001</v>
      </c>
      <c r="W3" s="6">
        <v>14</v>
      </c>
      <c r="X3" s="6">
        <v>75</v>
      </c>
      <c r="Z3" s="6">
        <v>232</v>
      </c>
      <c r="AA3" s="6">
        <v>3.6</v>
      </c>
      <c r="AB3" s="6">
        <v>14</v>
      </c>
      <c r="AC3" s="6">
        <v>75</v>
      </c>
      <c r="AE3" s="6">
        <v>232</v>
      </c>
      <c r="AF3" s="6">
        <v>3.6</v>
      </c>
      <c r="AG3" s="6">
        <v>17.600000000000001</v>
      </c>
      <c r="AH3" s="6">
        <v>75</v>
      </c>
      <c r="AI3" s="6"/>
      <c r="AJ3" s="6">
        <v>232</v>
      </c>
      <c r="AK3" s="6">
        <v>3.6</v>
      </c>
      <c r="AL3" s="6">
        <v>17.600000000000001</v>
      </c>
      <c r="AM3" s="6">
        <v>14</v>
      </c>
      <c r="AO3" s="6">
        <v>232</v>
      </c>
      <c r="AP3" s="6">
        <v>14</v>
      </c>
      <c r="AQ3" s="6">
        <v>75</v>
      </c>
      <c r="AS3" s="6">
        <v>232</v>
      </c>
      <c r="AT3" s="6">
        <v>3.6</v>
      </c>
      <c r="AU3" s="6">
        <v>75</v>
      </c>
      <c r="AW3" s="6">
        <v>232</v>
      </c>
      <c r="AX3" s="6">
        <v>3.6</v>
      </c>
      <c r="AY3" s="6">
        <v>14</v>
      </c>
    </row>
    <row r="4" spans="1:51" x14ac:dyDescent="0.25">
      <c r="A4" s="6">
        <v>243</v>
      </c>
      <c r="B4" s="6">
        <v>4.0999999999999996</v>
      </c>
      <c r="C4" s="6">
        <v>16.8</v>
      </c>
      <c r="D4" s="6">
        <v>14.3</v>
      </c>
      <c r="E4" s="6">
        <v>90</v>
      </c>
      <c r="G4" s="7" t="s">
        <v>46</v>
      </c>
      <c r="H4" s="7">
        <v>-6.0748388092610225E-2</v>
      </c>
      <c r="I4" s="7">
        <v>0.52624622230924978</v>
      </c>
      <c r="J4" s="7">
        <v>1</v>
      </c>
      <c r="K4" s="7"/>
      <c r="L4" s="7"/>
      <c r="O4" s="6">
        <v>243</v>
      </c>
      <c r="P4" s="6">
        <v>4.0999999999999996</v>
      </c>
      <c r="Q4" s="6">
        <v>16.8</v>
      </c>
      <c r="R4" s="6">
        <v>14.3</v>
      </c>
      <c r="S4" s="6">
        <v>90</v>
      </c>
      <c r="U4" s="6">
        <v>243</v>
      </c>
      <c r="V4" s="6">
        <v>16.8</v>
      </c>
      <c r="W4" s="6">
        <v>14.3</v>
      </c>
      <c r="X4" s="6">
        <v>90</v>
      </c>
      <c r="Z4" s="6">
        <v>243</v>
      </c>
      <c r="AA4" s="6">
        <v>4.0999999999999996</v>
      </c>
      <c r="AB4" s="6">
        <v>14.3</v>
      </c>
      <c r="AC4" s="6">
        <v>90</v>
      </c>
      <c r="AE4" s="6">
        <v>243</v>
      </c>
      <c r="AF4" s="6">
        <v>4.0999999999999996</v>
      </c>
      <c r="AG4" s="6">
        <v>16.8</v>
      </c>
      <c r="AH4" s="6">
        <v>90</v>
      </c>
      <c r="AI4" s="6"/>
      <c r="AJ4" s="6">
        <v>243</v>
      </c>
      <c r="AK4" s="6">
        <v>4.0999999999999996</v>
      </c>
      <c r="AL4" s="6">
        <v>16.8</v>
      </c>
      <c r="AM4" s="6">
        <v>14.3</v>
      </c>
      <c r="AO4" s="6">
        <v>243</v>
      </c>
      <c r="AP4" s="6">
        <v>14.3</v>
      </c>
      <c r="AQ4" s="6">
        <v>90</v>
      </c>
      <c r="AS4" s="6">
        <v>243</v>
      </c>
      <c r="AT4" s="6">
        <v>4.0999999999999996</v>
      </c>
      <c r="AU4" s="6">
        <v>90</v>
      </c>
      <c r="AW4" s="6">
        <v>243</v>
      </c>
      <c r="AX4" s="6">
        <v>4.0999999999999996</v>
      </c>
      <c r="AY4" s="6">
        <v>14.3</v>
      </c>
    </row>
    <row r="5" spans="1:51" x14ac:dyDescent="0.25">
      <c r="A5" s="6">
        <v>256</v>
      </c>
      <c r="B5" s="6">
        <v>5.9</v>
      </c>
      <c r="C5" s="6">
        <v>16.399999999999999</v>
      </c>
      <c r="D5" s="6">
        <v>15</v>
      </c>
      <c r="E5" s="6">
        <v>85</v>
      </c>
      <c r="G5" s="7" t="s">
        <v>47</v>
      </c>
      <c r="H5" s="7">
        <v>-0.6692075750532267</v>
      </c>
      <c r="I5" s="7">
        <v>0.17466031638874782</v>
      </c>
      <c r="J5" s="7">
        <v>0.27568550371265704</v>
      </c>
      <c r="K5" s="7">
        <v>1</v>
      </c>
      <c r="L5" s="7"/>
      <c r="O5" s="6">
        <v>256</v>
      </c>
      <c r="P5" s="6">
        <v>5.9</v>
      </c>
      <c r="Q5" s="6">
        <v>16.399999999999999</v>
      </c>
      <c r="R5" s="6">
        <v>15</v>
      </c>
      <c r="S5" s="6">
        <v>85</v>
      </c>
      <c r="U5" s="6">
        <v>256</v>
      </c>
      <c r="V5" s="6">
        <v>16.399999999999999</v>
      </c>
      <c r="W5" s="6">
        <v>15</v>
      </c>
      <c r="X5" s="6">
        <v>85</v>
      </c>
      <c r="Z5" s="6">
        <v>256</v>
      </c>
      <c r="AA5" s="6">
        <v>5.9</v>
      </c>
      <c r="AB5" s="6">
        <v>15</v>
      </c>
      <c r="AC5" s="6">
        <v>85</v>
      </c>
      <c r="AE5" s="6">
        <v>256</v>
      </c>
      <c r="AF5" s="6">
        <v>5.9</v>
      </c>
      <c r="AG5" s="6">
        <v>16.399999999999999</v>
      </c>
      <c r="AH5" s="6">
        <v>85</v>
      </c>
      <c r="AI5" s="6"/>
      <c r="AJ5" s="6">
        <v>256</v>
      </c>
      <c r="AK5" s="6">
        <v>5.9</v>
      </c>
      <c r="AL5" s="6">
        <v>16.399999999999999</v>
      </c>
      <c r="AM5" s="6">
        <v>15</v>
      </c>
      <c r="AO5" s="6">
        <v>256</v>
      </c>
      <c r="AP5" s="6">
        <v>15</v>
      </c>
      <c r="AQ5" s="6">
        <v>85</v>
      </c>
      <c r="AS5" s="6">
        <v>256</v>
      </c>
      <c r="AT5" s="6">
        <v>5.9</v>
      </c>
      <c r="AU5" s="6">
        <v>85</v>
      </c>
      <c r="AW5" s="6">
        <v>256</v>
      </c>
      <c r="AX5" s="6">
        <v>5.9</v>
      </c>
      <c r="AY5" s="6">
        <v>15</v>
      </c>
    </row>
    <row r="6" spans="1:51" ht="15.75" thickBot="1" x14ac:dyDescent="0.3">
      <c r="A6" s="6">
        <v>276</v>
      </c>
      <c r="B6" s="6">
        <v>6.8</v>
      </c>
      <c r="C6" s="6">
        <v>16.899999999999999</v>
      </c>
      <c r="D6" s="6">
        <v>15.2</v>
      </c>
      <c r="E6" s="6">
        <v>95</v>
      </c>
      <c r="G6" s="8" t="s">
        <v>48</v>
      </c>
      <c r="H6" s="8">
        <v>0.80341906008533981</v>
      </c>
      <c r="I6" s="8">
        <v>5.9722612434419196E-2</v>
      </c>
      <c r="J6" s="8">
        <v>-0.10240128640590217</v>
      </c>
      <c r="K6" s="8">
        <v>-0.31235404849594806</v>
      </c>
      <c r="L6" s="8">
        <v>1</v>
      </c>
      <c r="O6" s="6">
        <v>276</v>
      </c>
      <c r="P6" s="6">
        <v>6.8</v>
      </c>
      <c r="Q6" s="6">
        <v>16.899999999999999</v>
      </c>
      <c r="R6" s="6">
        <v>15.2</v>
      </c>
      <c r="S6" s="6">
        <v>95</v>
      </c>
      <c r="U6" s="6">
        <v>276</v>
      </c>
      <c r="V6" s="6">
        <v>16.899999999999999</v>
      </c>
      <c r="W6" s="6">
        <v>15.2</v>
      </c>
      <c r="X6" s="6">
        <v>95</v>
      </c>
      <c r="Z6" s="6">
        <v>276</v>
      </c>
      <c r="AA6" s="6">
        <v>6.8</v>
      </c>
      <c r="AB6" s="6">
        <v>15.2</v>
      </c>
      <c r="AC6" s="6">
        <v>95</v>
      </c>
      <c r="AE6" s="6">
        <v>276</v>
      </c>
      <c r="AF6" s="6">
        <v>6.8</v>
      </c>
      <c r="AG6" s="6">
        <v>16.899999999999999</v>
      </c>
      <c r="AH6" s="6">
        <v>95</v>
      </c>
      <c r="AI6" s="6"/>
      <c r="AJ6" s="6">
        <v>276</v>
      </c>
      <c r="AK6" s="6">
        <v>6.8</v>
      </c>
      <c r="AL6" s="6">
        <v>16.899999999999999</v>
      </c>
      <c r="AM6" s="6">
        <v>15.2</v>
      </c>
      <c r="AO6" s="6">
        <v>276</v>
      </c>
      <c r="AP6" s="6">
        <v>15.2</v>
      </c>
      <c r="AQ6" s="6">
        <v>95</v>
      </c>
      <c r="AS6" s="6">
        <v>276</v>
      </c>
      <c r="AT6" s="6">
        <v>6.8</v>
      </c>
      <c r="AU6" s="6">
        <v>95</v>
      </c>
      <c r="AW6" s="6">
        <v>276</v>
      </c>
      <c r="AX6" s="6">
        <v>6.8</v>
      </c>
      <c r="AY6" s="6">
        <v>15.2</v>
      </c>
    </row>
    <row r="7" spans="1:51" x14ac:dyDescent="0.25">
      <c r="A7" s="6">
        <v>287</v>
      </c>
      <c r="B7" s="6">
        <v>4.7</v>
      </c>
      <c r="C7" s="6">
        <v>18</v>
      </c>
      <c r="D7" s="6">
        <v>15.4</v>
      </c>
      <c r="E7" s="6">
        <v>90</v>
      </c>
      <c r="O7" s="6">
        <v>287</v>
      </c>
      <c r="P7" s="6">
        <v>4.7</v>
      </c>
      <c r="Q7" s="6">
        <v>18</v>
      </c>
      <c r="R7" s="6">
        <v>15.4</v>
      </c>
      <c r="S7" s="6">
        <v>90</v>
      </c>
      <c r="U7" s="6">
        <v>287</v>
      </c>
      <c r="V7" s="6">
        <v>18</v>
      </c>
      <c r="W7" s="6">
        <v>15.4</v>
      </c>
      <c r="X7" s="6">
        <v>90</v>
      </c>
      <c r="Z7" s="6">
        <v>287</v>
      </c>
      <c r="AA7" s="6">
        <v>4.7</v>
      </c>
      <c r="AB7" s="6">
        <v>15.4</v>
      </c>
      <c r="AC7" s="6">
        <v>90</v>
      </c>
      <c r="AE7" s="6">
        <v>287</v>
      </c>
      <c r="AF7" s="6">
        <v>4.7</v>
      </c>
      <c r="AG7" s="6">
        <v>18</v>
      </c>
      <c r="AH7" s="6">
        <v>90</v>
      </c>
      <c r="AI7" s="6"/>
      <c r="AJ7" s="6">
        <v>287</v>
      </c>
      <c r="AK7" s="6">
        <v>4.7</v>
      </c>
      <c r="AL7" s="6">
        <v>18</v>
      </c>
      <c r="AM7" s="6">
        <v>15.4</v>
      </c>
      <c r="AO7" s="6">
        <v>287</v>
      </c>
      <c r="AP7" s="6">
        <v>15.4</v>
      </c>
      <c r="AQ7" s="6">
        <v>90</v>
      </c>
      <c r="AS7" s="6">
        <v>287</v>
      </c>
      <c r="AT7" s="6">
        <v>4.7</v>
      </c>
      <c r="AU7" s="6">
        <v>90</v>
      </c>
      <c r="AW7" s="6">
        <v>287</v>
      </c>
      <c r="AX7" s="6">
        <v>4.7</v>
      </c>
      <c r="AY7" s="6">
        <v>15.4</v>
      </c>
    </row>
    <row r="8" spans="1:51" ht="45" x14ac:dyDescent="0.25">
      <c r="A8" s="6">
        <v>298</v>
      </c>
      <c r="B8" s="6">
        <v>8.1999999999999993</v>
      </c>
      <c r="C8" s="6">
        <v>20.2</v>
      </c>
      <c r="D8" s="6">
        <v>15.5</v>
      </c>
      <c r="E8" s="6">
        <v>93</v>
      </c>
      <c r="G8" s="26" t="s">
        <v>125</v>
      </c>
      <c r="H8" s="26" t="s">
        <v>126</v>
      </c>
      <c r="O8" s="6">
        <v>298</v>
      </c>
      <c r="P8" s="6">
        <v>8.1999999999999993</v>
      </c>
      <c r="Q8" s="6">
        <v>20.2</v>
      </c>
      <c r="R8" s="6">
        <v>15.5</v>
      </c>
      <c r="S8" s="6">
        <v>93</v>
      </c>
      <c r="U8" s="6">
        <v>298</v>
      </c>
      <c r="V8" s="6">
        <v>20.2</v>
      </c>
      <c r="W8" s="6">
        <v>15.5</v>
      </c>
      <c r="X8" s="6">
        <v>93</v>
      </c>
      <c r="Z8" s="6">
        <v>298</v>
      </c>
      <c r="AA8" s="6">
        <v>8.1999999999999993</v>
      </c>
      <c r="AB8" s="6">
        <v>15.5</v>
      </c>
      <c r="AC8" s="6">
        <v>93</v>
      </c>
      <c r="AE8" s="6">
        <v>298</v>
      </c>
      <c r="AF8" s="6">
        <v>8.1999999999999993</v>
      </c>
      <c r="AG8" s="6">
        <v>20.2</v>
      </c>
      <c r="AH8" s="6">
        <v>93</v>
      </c>
      <c r="AI8" s="6"/>
      <c r="AJ8" s="6">
        <v>298</v>
      </c>
      <c r="AK8" s="6">
        <v>8.1999999999999993</v>
      </c>
      <c r="AL8" s="6">
        <v>20.2</v>
      </c>
      <c r="AM8" s="6">
        <v>15.5</v>
      </c>
      <c r="AO8" s="6">
        <v>298</v>
      </c>
      <c r="AP8" s="6">
        <v>15.5</v>
      </c>
      <c r="AQ8" s="6">
        <v>93</v>
      </c>
      <c r="AS8" s="6">
        <v>298</v>
      </c>
      <c r="AT8" s="6">
        <v>8.1999999999999993</v>
      </c>
      <c r="AU8" s="6">
        <v>93</v>
      </c>
      <c r="AW8" s="6">
        <v>298</v>
      </c>
      <c r="AX8" s="6">
        <v>8.1999999999999993</v>
      </c>
      <c r="AY8" s="6">
        <v>15.5</v>
      </c>
    </row>
    <row r="9" spans="1:51" x14ac:dyDescent="0.25">
      <c r="A9" s="6">
        <v>301</v>
      </c>
      <c r="B9" s="6">
        <v>5.3</v>
      </c>
      <c r="C9" s="6">
        <v>16.8</v>
      </c>
      <c r="D9" s="6">
        <v>15.2</v>
      </c>
      <c r="E9" s="6">
        <v>119</v>
      </c>
      <c r="O9" s="6">
        <v>301</v>
      </c>
      <c r="P9" s="6">
        <v>5.3</v>
      </c>
      <c r="Q9" s="6">
        <v>16.8</v>
      </c>
      <c r="R9" s="6">
        <v>15.2</v>
      </c>
      <c r="S9" s="6">
        <v>119</v>
      </c>
      <c r="U9" s="6">
        <v>301</v>
      </c>
      <c r="V9" s="6">
        <v>16.8</v>
      </c>
      <c r="W9" s="6">
        <v>15.2</v>
      </c>
      <c r="X9" s="6">
        <v>119</v>
      </c>
      <c r="Z9" s="6">
        <v>301</v>
      </c>
      <c r="AA9" s="6">
        <v>5.3</v>
      </c>
      <c r="AB9" s="6">
        <v>15.2</v>
      </c>
      <c r="AC9" s="6">
        <v>119</v>
      </c>
      <c r="AE9" s="6">
        <v>301</v>
      </c>
      <c r="AF9" s="6">
        <v>5.3</v>
      </c>
      <c r="AG9" s="6">
        <v>16.8</v>
      </c>
      <c r="AH9" s="6">
        <v>119</v>
      </c>
      <c r="AI9" s="6"/>
      <c r="AJ9" s="6">
        <v>301</v>
      </c>
      <c r="AK9" s="6">
        <v>5.3</v>
      </c>
      <c r="AL9" s="6">
        <v>16.8</v>
      </c>
      <c r="AM9" s="6">
        <v>15.2</v>
      </c>
      <c r="AO9" s="6">
        <v>301</v>
      </c>
      <c r="AP9" s="6">
        <v>15.2</v>
      </c>
      <c r="AQ9" s="6">
        <v>119</v>
      </c>
      <c r="AS9" s="6">
        <v>301</v>
      </c>
      <c r="AT9" s="6">
        <v>5.3</v>
      </c>
      <c r="AU9" s="6">
        <v>119</v>
      </c>
      <c r="AW9" s="6">
        <v>301</v>
      </c>
      <c r="AX9" s="6">
        <v>5.3</v>
      </c>
      <c r="AY9" s="6">
        <v>15.2</v>
      </c>
    </row>
    <row r="10" spans="1:51" x14ac:dyDescent="0.25">
      <c r="A10" s="6">
        <v>324</v>
      </c>
      <c r="B10" s="6">
        <v>9.1</v>
      </c>
      <c r="C10" s="6">
        <v>18.2</v>
      </c>
      <c r="D10" s="6">
        <v>13.5</v>
      </c>
      <c r="E10" s="6">
        <v>99</v>
      </c>
      <c r="O10" s="6">
        <v>324</v>
      </c>
      <c r="P10" s="6">
        <v>9.1</v>
      </c>
      <c r="Q10" s="6">
        <v>18.2</v>
      </c>
      <c r="R10" s="6">
        <v>13.5</v>
      </c>
      <c r="S10" s="6">
        <v>99</v>
      </c>
      <c r="U10" s="6">
        <v>324</v>
      </c>
      <c r="V10" s="6">
        <v>18.2</v>
      </c>
      <c r="W10" s="6">
        <v>13.5</v>
      </c>
      <c r="X10" s="6">
        <v>99</v>
      </c>
      <c r="Z10" s="6">
        <v>324</v>
      </c>
      <c r="AA10" s="6">
        <v>9.1</v>
      </c>
      <c r="AB10" s="6">
        <v>13.5</v>
      </c>
      <c r="AC10" s="6">
        <v>99</v>
      </c>
      <c r="AE10" s="6">
        <v>324</v>
      </c>
      <c r="AF10" s="6">
        <v>9.1</v>
      </c>
      <c r="AG10" s="6">
        <v>18.2</v>
      </c>
      <c r="AH10" s="6">
        <v>99</v>
      </c>
      <c r="AI10" s="6"/>
      <c r="AJ10" s="6">
        <v>324</v>
      </c>
      <c r="AK10" s="6">
        <v>9.1</v>
      </c>
      <c r="AL10" s="6">
        <v>18.2</v>
      </c>
      <c r="AM10" s="6">
        <v>13.5</v>
      </c>
      <c r="AO10" s="6">
        <v>324</v>
      </c>
      <c r="AP10" s="6">
        <v>13.5</v>
      </c>
      <c r="AQ10" s="6">
        <v>99</v>
      </c>
      <c r="AS10" s="6">
        <v>324</v>
      </c>
      <c r="AT10" s="6">
        <v>9.1</v>
      </c>
      <c r="AU10" s="6">
        <v>99</v>
      </c>
      <c r="AW10" s="6">
        <v>324</v>
      </c>
      <c r="AX10" s="6">
        <v>9.1</v>
      </c>
      <c r="AY10" s="6">
        <v>13.5</v>
      </c>
    </row>
    <row r="11" spans="1:51" x14ac:dyDescent="0.25">
      <c r="A11" s="6">
        <v>367</v>
      </c>
      <c r="B11" s="6">
        <v>6.5</v>
      </c>
      <c r="C11" s="6">
        <v>16.7</v>
      </c>
      <c r="D11" s="6">
        <v>13</v>
      </c>
      <c r="E11" s="6">
        <v>96</v>
      </c>
      <c r="O11" s="6">
        <v>367</v>
      </c>
      <c r="P11" s="6">
        <v>6.5</v>
      </c>
      <c r="Q11" s="6">
        <v>16.7</v>
      </c>
      <c r="R11" s="6">
        <v>13</v>
      </c>
      <c r="S11" s="6">
        <v>96</v>
      </c>
      <c r="U11" s="6">
        <v>367</v>
      </c>
      <c r="V11" s="6">
        <v>16.7</v>
      </c>
      <c r="W11" s="6">
        <v>13</v>
      </c>
      <c r="X11" s="6">
        <v>96</v>
      </c>
      <c r="Z11" s="6">
        <v>367</v>
      </c>
      <c r="AA11" s="6">
        <v>6.5</v>
      </c>
      <c r="AB11" s="6">
        <v>13</v>
      </c>
      <c r="AC11" s="6">
        <v>96</v>
      </c>
      <c r="AE11" s="6">
        <v>367</v>
      </c>
      <c r="AF11" s="6">
        <v>6.5</v>
      </c>
      <c r="AG11" s="6">
        <v>16.7</v>
      </c>
      <c r="AH11" s="6">
        <v>96</v>
      </c>
      <c r="AI11" s="6"/>
      <c r="AJ11" s="6">
        <v>367</v>
      </c>
      <c r="AK11" s="6">
        <v>6.5</v>
      </c>
      <c r="AL11" s="6">
        <v>16.7</v>
      </c>
      <c r="AM11" s="6">
        <v>13</v>
      </c>
      <c r="AO11" s="6">
        <v>367</v>
      </c>
      <c r="AP11" s="6">
        <v>13</v>
      </c>
      <c r="AQ11" s="6">
        <v>96</v>
      </c>
      <c r="AS11" s="6">
        <v>367</v>
      </c>
      <c r="AT11" s="6">
        <v>6.5</v>
      </c>
      <c r="AU11" s="6">
        <v>96</v>
      </c>
      <c r="AW11" s="6">
        <v>367</v>
      </c>
      <c r="AX11" s="6">
        <v>6.5</v>
      </c>
      <c r="AY11" s="6">
        <v>13</v>
      </c>
    </row>
    <row r="12" spans="1:51" x14ac:dyDescent="0.25">
      <c r="A12" s="6">
        <v>389</v>
      </c>
      <c r="B12" s="6">
        <v>5.8</v>
      </c>
      <c r="C12" s="6">
        <v>17.3</v>
      </c>
      <c r="D12" s="6">
        <v>13.2</v>
      </c>
      <c r="E12" s="6">
        <v>133</v>
      </c>
      <c r="O12" s="6">
        <v>389</v>
      </c>
      <c r="P12" s="6">
        <v>5.8</v>
      </c>
      <c r="Q12" s="6">
        <v>17.3</v>
      </c>
      <c r="R12" s="6">
        <v>13.2</v>
      </c>
      <c r="S12" s="6">
        <v>133</v>
      </c>
      <c r="U12" s="6">
        <v>389</v>
      </c>
      <c r="V12" s="6">
        <v>17.3</v>
      </c>
      <c r="W12" s="6">
        <v>13.2</v>
      </c>
      <c r="X12" s="6">
        <v>133</v>
      </c>
      <c r="Z12" s="6">
        <v>389</v>
      </c>
      <c r="AA12" s="6">
        <v>5.8</v>
      </c>
      <c r="AB12" s="6">
        <v>13.2</v>
      </c>
      <c r="AC12" s="6">
        <v>133</v>
      </c>
      <c r="AE12" s="6">
        <v>389</v>
      </c>
      <c r="AF12" s="6">
        <v>5.8</v>
      </c>
      <c r="AG12" s="6">
        <v>17.3</v>
      </c>
      <c r="AH12" s="6">
        <v>133</v>
      </c>
      <c r="AI12" s="6"/>
      <c r="AJ12" s="6">
        <v>389</v>
      </c>
      <c r="AK12" s="6">
        <v>5.8</v>
      </c>
      <c r="AL12" s="6">
        <v>17.3</v>
      </c>
      <c r="AM12" s="6">
        <v>13.2</v>
      </c>
      <c r="AO12" s="6">
        <v>389</v>
      </c>
      <c r="AP12" s="6">
        <v>13.2</v>
      </c>
      <c r="AQ12" s="6">
        <v>133</v>
      </c>
      <c r="AS12" s="6">
        <v>389</v>
      </c>
      <c r="AT12" s="6">
        <v>5.8</v>
      </c>
      <c r="AU12" s="6">
        <v>133</v>
      </c>
      <c r="AW12" s="6">
        <v>389</v>
      </c>
      <c r="AX12" s="6">
        <v>5.8</v>
      </c>
      <c r="AY12" s="6">
        <v>13.2</v>
      </c>
    </row>
    <row r="13" spans="1:51" x14ac:dyDescent="0.25">
      <c r="A13" s="6">
        <v>412</v>
      </c>
      <c r="B13" s="6">
        <v>4.9000000000000004</v>
      </c>
      <c r="C13" s="6">
        <v>16.5</v>
      </c>
      <c r="D13" s="6">
        <v>13.1</v>
      </c>
      <c r="E13" s="6">
        <v>138</v>
      </c>
      <c r="O13" s="6">
        <v>412</v>
      </c>
      <c r="P13" s="6">
        <v>4.9000000000000004</v>
      </c>
      <c r="Q13" s="6">
        <v>16.5</v>
      </c>
      <c r="R13" s="6">
        <v>13.1</v>
      </c>
      <c r="S13" s="6">
        <v>138</v>
      </c>
      <c r="U13" s="6">
        <v>412</v>
      </c>
      <c r="V13" s="6">
        <v>16.5</v>
      </c>
      <c r="W13" s="6">
        <v>13.1</v>
      </c>
      <c r="X13" s="6">
        <v>138</v>
      </c>
      <c r="Z13" s="6">
        <v>412</v>
      </c>
      <c r="AA13" s="6">
        <v>4.9000000000000004</v>
      </c>
      <c r="AB13" s="6">
        <v>13.1</v>
      </c>
      <c r="AC13" s="6">
        <v>138</v>
      </c>
      <c r="AE13" s="6">
        <v>412</v>
      </c>
      <c r="AF13" s="6">
        <v>4.9000000000000004</v>
      </c>
      <c r="AG13" s="6">
        <v>16.5</v>
      </c>
      <c r="AH13" s="6">
        <v>138</v>
      </c>
      <c r="AI13" s="6"/>
      <c r="AJ13" s="6">
        <v>412</v>
      </c>
      <c r="AK13" s="6">
        <v>4.9000000000000004</v>
      </c>
      <c r="AL13" s="6">
        <v>16.5</v>
      </c>
      <c r="AM13" s="6">
        <v>13.1</v>
      </c>
      <c r="AO13" s="6">
        <v>412</v>
      </c>
      <c r="AP13" s="6">
        <v>13.1</v>
      </c>
      <c r="AQ13" s="6">
        <v>138</v>
      </c>
      <c r="AS13" s="6">
        <v>412</v>
      </c>
      <c r="AT13" s="6">
        <v>4.9000000000000004</v>
      </c>
      <c r="AU13" s="6">
        <v>138</v>
      </c>
      <c r="AW13" s="6">
        <v>412</v>
      </c>
      <c r="AX13" s="6">
        <v>4.9000000000000004</v>
      </c>
      <c r="AY13" s="6">
        <v>13.1</v>
      </c>
    </row>
    <row r="14" spans="1:51" x14ac:dyDescent="0.25">
      <c r="A14" s="6">
        <v>435</v>
      </c>
      <c r="B14" s="6">
        <v>4.2</v>
      </c>
      <c r="C14" s="6">
        <v>16.3</v>
      </c>
      <c r="D14" s="6">
        <v>13.3</v>
      </c>
      <c r="E14" s="6">
        <v>143</v>
      </c>
      <c r="O14" s="6">
        <v>435</v>
      </c>
      <c r="P14" s="6">
        <v>4.2</v>
      </c>
      <c r="Q14" s="6">
        <v>16.3</v>
      </c>
      <c r="R14" s="6">
        <v>13.3</v>
      </c>
      <c r="S14" s="6">
        <v>143</v>
      </c>
      <c r="U14" s="6">
        <v>435</v>
      </c>
      <c r="V14" s="6">
        <v>16.3</v>
      </c>
      <c r="W14" s="6">
        <v>13.3</v>
      </c>
      <c r="X14" s="6">
        <v>143</v>
      </c>
      <c r="Z14" s="6">
        <v>435</v>
      </c>
      <c r="AA14" s="6">
        <v>4.2</v>
      </c>
      <c r="AB14" s="6">
        <v>13.3</v>
      </c>
      <c r="AC14" s="6">
        <v>143</v>
      </c>
      <c r="AE14" s="6">
        <v>435</v>
      </c>
      <c r="AF14" s="6">
        <v>4.2</v>
      </c>
      <c r="AG14" s="6">
        <v>16.3</v>
      </c>
      <c r="AH14" s="6">
        <v>143</v>
      </c>
      <c r="AI14" s="6"/>
      <c r="AJ14" s="6">
        <v>435</v>
      </c>
      <c r="AK14" s="6">
        <v>4.2</v>
      </c>
      <c r="AL14" s="6">
        <v>16.3</v>
      </c>
      <c r="AM14" s="6">
        <v>13.3</v>
      </c>
      <c r="AO14" s="6">
        <v>435</v>
      </c>
      <c r="AP14" s="6">
        <v>13.3</v>
      </c>
      <c r="AQ14" s="6">
        <v>143</v>
      </c>
      <c r="AS14" s="6">
        <v>435</v>
      </c>
      <c r="AT14" s="6">
        <v>4.2</v>
      </c>
      <c r="AU14" s="6">
        <v>143</v>
      </c>
      <c r="AW14" s="6">
        <v>435</v>
      </c>
      <c r="AX14" s="6">
        <v>4.2</v>
      </c>
      <c r="AY14" s="6">
        <v>13.3</v>
      </c>
    </row>
    <row r="15" spans="1:51" x14ac:dyDescent="0.25">
      <c r="A15" s="6">
        <v>449</v>
      </c>
      <c r="B15" s="6">
        <v>4.7</v>
      </c>
      <c r="C15" s="6">
        <v>16.8</v>
      </c>
      <c r="D15" s="6">
        <v>12.9</v>
      </c>
      <c r="E15" s="6">
        <v>98</v>
      </c>
      <c r="O15" s="6">
        <v>449</v>
      </c>
      <c r="P15" s="6">
        <v>4.7</v>
      </c>
      <c r="Q15" s="6">
        <v>16.8</v>
      </c>
      <c r="R15" s="6">
        <v>12.9</v>
      </c>
      <c r="S15" s="6">
        <v>98</v>
      </c>
      <c r="U15" s="6">
        <v>449</v>
      </c>
      <c r="V15" s="6">
        <v>16.8</v>
      </c>
      <c r="W15" s="6">
        <v>12.9</v>
      </c>
      <c r="X15" s="6">
        <v>98</v>
      </c>
      <c r="Z15" s="6">
        <v>449</v>
      </c>
      <c r="AA15" s="6">
        <v>4.7</v>
      </c>
      <c r="AB15" s="6">
        <v>12.9</v>
      </c>
      <c r="AC15" s="6">
        <v>98</v>
      </c>
      <c r="AE15" s="6">
        <v>449</v>
      </c>
      <c r="AF15" s="6">
        <v>4.7</v>
      </c>
      <c r="AG15" s="6">
        <v>16.8</v>
      </c>
      <c r="AH15" s="6">
        <v>98</v>
      </c>
      <c r="AI15" s="6"/>
      <c r="AJ15" s="6">
        <v>449</v>
      </c>
      <c r="AK15" s="6">
        <v>4.7</v>
      </c>
      <c r="AL15" s="6">
        <v>16.8</v>
      </c>
      <c r="AM15" s="6">
        <v>12.9</v>
      </c>
      <c r="AO15" s="6">
        <v>449</v>
      </c>
      <c r="AP15" s="6">
        <v>12.9</v>
      </c>
      <c r="AQ15" s="6">
        <v>98</v>
      </c>
      <c r="AS15" s="6">
        <v>449</v>
      </c>
      <c r="AT15" s="6">
        <v>4.7</v>
      </c>
      <c r="AU15" s="6">
        <v>98</v>
      </c>
      <c r="AW15" s="6">
        <v>449</v>
      </c>
      <c r="AX15" s="6">
        <v>4.7</v>
      </c>
      <c r="AY15" s="6">
        <v>12.9</v>
      </c>
    </row>
    <row r="16" spans="1:51" x14ac:dyDescent="0.25">
      <c r="A16" s="6">
        <v>456</v>
      </c>
      <c r="B16" s="6">
        <v>4.9000000000000004</v>
      </c>
      <c r="C16" s="6">
        <v>17.7</v>
      </c>
      <c r="D16" s="6">
        <v>13.1</v>
      </c>
      <c r="E16" s="6">
        <v>145</v>
      </c>
      <c r="O16" s="6">
        <v>456</v>
      </c>
      <c r="P16" s="6">
        <v>4.9000000000000004</v>
      </c>
      <c r="Q16" s="6">
        <v>17.7</v>
      </c>
      <c r="R16" s="6">
        <v>13.1</v>
      </c>
      <c r="S16" s="6">
        <v>145</v>
      </c>
      <c r="U16" s="6">
        <v>456</v>
      </c>
      <c r="V16" s="6">
        <v>17.7</v>
      </c>
      <c r="W16" s="6">
        <v>13.1</v>
      </c>
      <c r="X16" s="6">
        <v>145</v>
      </c>
      <c r="Z16" s="6">
        <v>456</v>
      </c>
      <c r="AA16" s="6">
        <v>4.9000000000000004</v>
      </c>
      <c r="AB16" s="6">
        <v>13.1</v>
      </c>
      <c r="AC16" s="6">
        <v>145</v>
      </c>
      <c r="AE16" s="6">
        <v>456</v>
      </c>
      <c r="AF16" s="6">
        <v>4.9000000000000004</v>
      </c>
      <c r="AG16" s="6">
        <v>17.7</v>
      </c>
      <c r="AH16" s="6">
        <v>145</v>
      </c>
      <c r="AI16" s="6"/>
      <c r="AJ16" s="6">
        <v>456</v>
      </c>
      <c r="AK16" s="6">
        <v>4.9000000000000004</v>
      </c>
      <c r="AL16" s="6">
        <v>17.7</v>
      </c>
      <c r="AM16" s="6">
        <v>13.1</v>
      </c>
      <c r="AO16" s="6">
        <v>456</v>
      </c>
      <c r="AP16" s="6">
        <v>13.1</v>
      </c>
      <c r="AQ16" s="6">
        <v>145</v>
      </c>
      <c r="AS16" s="6">
        <v>456</v>
      </c>
      <c r="AT16" s="6">
        <v>4.9000000000000004</v>
      </c>
      <c r="AU16" s="6">
        <v>145</v>
      </c>
      <c r="AW16" s="6">
        <v>456</v>
      </c>
      <c r="AX16" s="6">
        <v>4.9000000000000004</v>
      </c>
      <c r="AY16" s="6">
        <v>13.1</v>
      </c>
    </row>
    <row r="17" spans="1:51" x14ac:dyDescent="0.25">
      <c r="A17" s="6">
        <v>478</v>
      </c>
      <c r="B17" s="6">
        <v>4.2</v>
      </c>
      <c r="C17" s="6">
        <v>16.2</v>
      </c>
      <c r="D17" s="6">
        <v>13.4</v>
      </c>
      <c r="E17" s="6">
        <v>157</v>
      </c>
      <c r="O17" s="6">
        <v>478</v>
      </c>
      <c r="P17" s="6">
        <v>4.2</v>
      </c>
      <c r="Q17" s="6">
        <v>16.2</v>
      </c>
      <c r="R17" s="6">
        <v>13.4</v>
      </c>
      <c r="S17" s="6">
        <v>157</v>
      </c>
      <c r="U17" s="6">
        <v>478</v>
      </c>
      <c r="V17" s="6">
        <v>16.2</v>
      </c>
      <c r="W17" s="6">
        <v>13.4</v>
      </c>
      <c r="X17" s="6">
        <v>157</v>
      </c>
      <c r="Z17" s="6">
        <v>478</v>
      </c>
      <c r="AA17" s="6">
        <v>4.2</v>
      </c>
      <c r="AB17" s="6">
        <v>13.4</v>
      </c>
      <c r="AC17" s="6">
        <v>157</v>
      </c>
      <c r="AE17" s="6">
        <v>478</v>
      </c>
      <c r="AF17" s="6">
        <v>4.2</v>
      </c>
      <c r="AG17" s="6">
        <v>16.2</v>
      </c>
      <c r="AH17" s="6">
        <v>157</v>
      </c>
      <c r="AI17" s="6"/>
      <c r="AJ17" s="6">
        <v>478</v>
      </c>
      <c r="AK17" s="6">
        <v>4.2</v>
      </c>
      <c r="AL17" s="6">
        <v>16.2</v>
      </c>
      <c r="AM17" s="6">
        <v>13.4</v>
      </c>
      <c r="AO17" s="6">
        <v>478</v>
      </c>
      <c r="AP17" s="6">
        <v>13.4</v>
      </c>
      <c r="AQ17" s="6">
        <v>157</v>
      </c>
      <c r="AS17" s="6">
        <v>478</v>
      </c>
      <c r="AT17" s="6">
        <v>4.2</v>
      </c>
      <c r="AU17" s="6">
        <v>157</v>
      </c>
      <c r="AW17" s="6">
        <v>478</v>
      </c>
      <c r="AX17" s="6">
        <v>4.2</v>
      </c>
      <c r="AY17" s="6">
        <v>13.4</v>
      </c>
    </row>
    <row r="18" spans="1:51" x14ac:dyDescent="0.25">
      <c r="A18" s="6">
        <v>492</v>
      </c>
      <c r="B18" s="6">
        <v>5.0999999999999996</v>
      </c>
      <c r="C18" s="6">
        <v>16.399999999999999</v>
      </c>
      <c r="D18" s="6">
        <v>13.3</v>
      </c>
      <c r="E18" s="6">
        <v>150</v>
      </c>
      <c r="O18" s="6">
        <v>492</v>
      </c>
      <c r="P18" s="6">
        <v>5.0999999999999996</v>
      </c>
      <c r="Q18" s="6">
        <v>16.399999999999999</v>
      </c>
      <c r="R18" s="6">
        <v>13.3</v>
      </c>
      <c r="S18" s="6">
        <v>150</v>
      </c>
      <c r="U18" s="6">
        <v>492</v>
      </c>
      <c r="V18" s="6">
        <v>16.399999999999999</v>
      </c>
      <c r="W18" s="6">
        <v>13.3</v>
      </c>
      <c r="X18" s="6">
        <v>150</v>
      </c>
      <c r="Z18" s="6">
        <v>492</v>
      </c>
      <c r="AA18" s="6">
        <v>5.0999999999999996</v>
      </c>
      <c r="AB18" s="6">
        <v>13.3</v>
      </c>
      <c r="AC18" s="6">
        <v>150</v>
      </c>
      <c r="AE18" s="6">
        <v>492</v>
      </c>
      <c r="AF18" s="6">
        <v>5.0999999999999996</v>
      </c>
      <c r="AG18" s="6">
        <v>16.399999999999999</v>
      </c>
      <c r="AH18" s="6">
        <v>150</v>
      </c>
      <c r="AI18" s="6"/>
      <c r="AJ18" s="6">
        <v>492</v>
      </c>
      <c r="AK18" s="6">
        <v>5.0999999999999996</v>
      </c>
      <c r="AL18" s="6">
        <v>16.399999999999999</v>
      </c>
      <c r="AM18" s="6">
        <v>13.3</v>
      </c>
      <c r="AO18" s="6">
        <v>492</v>
      </c>
      <c r="AP18" s="6">
        <v>13.3</v>
      </c>
      <c r="AQ18" s="6">
        <v>150</v>
      </c>
      <c r="AS18" s="6">
        <v>492</v>
      </c>
      <c r="AT18" s="6">
        <v>5.0999999999999996</v>
      </c>
      <c r="AU18" s="6">
        <v>150</v>
      </c>
      <c r="AW18" s="6">
        <v>492</v>
      </c>
      <c r="AX18" s="6">
        <v>5.0999999999999996</v>
      </c>
      <c r="AY18" s="6">
        <v>13.3</v>
      </c>
    </row>
    <row r="19" spans="1:51" x14ac:dyDescent="0.25">
      <c r="A19" s="6">
        <v>501</v>
      </c>
      <c r="B19" s="6">
        <v>5.6</v>
      </c>
      <c r="C19" s="6">
        <v>17.3</v>
      </c>
      <c r="D19" s="6">
        <v>11.6</v>
      </c>
      <c r="E19" s="6">
        <v>91</v>
      </c>
      <c r="O19" s="6">
        <v>501</v>
      </c>
      <c r="P19" s="6">
        <v>5.6</v>
      </c>
      <c r="Q19" s="6">
        <v>17.3</v>
      </c>
      <c r="R19" s="6">
        <v>11.6</v>
      </c>
      <c r="S19" s="6">
        <v>91</v>
      </c>
      <c r="U19" s="6">
        <v>501</v>
      </c>
      <c r="V19" s="6">
        <v>17.3</v>
      </c>
      <c r="W19" s="6">
        <v>11.6</v>
      </c>
      <c r="X19" s="6">
        <v>91</v>
      </c>
      <c r="Z19" s="6">
        <v>501</v>
      </c>
      <c r="AA19" s="6">
        <v>5.6</v>
      </c>
      <c r="AB19" s="6">
        <v>11.6</v>
      </c>
      <c r="AC19" s="6">
        <v>91</v>
      </c>
      <c r="AE19" s="6">
        <v>501</v>
      </c>
      <c r="AF19" s="6">
        <v>5.6</v>
      </c>
      <c r="AG19" s="6">
        <v>17.3</v>
      </c>
      <c r="AH19" s="6">
        <v>91</v>
      </c>
      <c r="AI19" s="6"/>
      <c r="AJ19" s="6">
        <v>501</v>
      </c>
      <c r="AK19" s="6">
        <v>5.6</v>
      </c>
      <c r="AL19" s="6">
        <v>17.3</v>
      </c>
      <c r="AM19" s="6">
        <v>11.6</v>
      </c>
      <c r="AO19" s="6">
        <v>501</v>
      </c>
      <c r="AP19" s="6">
        <v>11.6</v>
      </c>
      <c r="AQ19" s="6">
        <v>91</v>
      </c>
      <c r="AS19" s="6">
        <v>501</v>
      </c>
      <c r="AT19" s="6">
        <v>5.6</v>
      </c>
      <c r="AU19" s="6">
        <v>91</v>
      </c>
      <c r="AW19" s="6">
        <v>501</v>
      </c>
      <c r="AX19" s="6">
        <v>5.6</v>
      </c>
      <c r="AY19" s="6">
        <v>11.6</v>
      </c>
    </row>
    <row r="20" spans="1:51" x14ac:dyDescent="0.25">
      <c r="A20" s="6">
        <v>513</v>
      </c>
      <c r="B20" s="6">
        <v>6.1</v>
      </c>
      <c r="C20" s="6">
        <v>18.2</v>
      </c>
      <c r="D20" s="6">
        <v>13.3</v>
      </c>
      <c r="E20" s="6">
        <v>160</v>
      </c>
      <c r="O20" s="6">
        <v>513</v>
      </c>
      <c r="P20" s="6">
        <v>6.1</v>
      </c>
      <c r="Q20" s="6">
        <v>18.2</v>
      </c>
      <c r="R20" s="6">
        <v>13.3</v>
      </c>
      <c r="S20" s="6">
        <v>160</v>
      </c>
      <c r="U20" s="6">
        <v>513</v>
      </c>
      <c r="V20" s="6">
        <v>18.2</v>
      </c>
      <c r="W20" s="6">
        <v>13.3</v>
      </c>
      <c r="X20" s="6">
        <v>160</v>
      </c>
      <c r="Z20" s="6">
        <v>513</v>
      </c>
      <c r="AA20" s="6">
        <v>6.1</v>
      </c>
      <c r="AB20" s="6">
        <v>13.3</v>
      </c>
      <c r="AC20" s="6">
        <v>160</v>
      </c>
      <c r="AE20" s="6">
        <v>513</v>
      </c>
      <c r="AF20" s="6">
        <v>6.1</v>
      </c>
      <c r="AG20" s="6">
        <v>18.2</v>
      </c>
      <c r="AH20" s="6">
        <v>160</v>
      </c>
      <c r="AI20" s="6"/>
      <c r="AJ20" s="6">
        <v>513</v>
      </c>
      <c r="AK20" s="6">
        <v>6.1</v>
      </c>
      <c r="AL20" s="6">
        <v>18.2</v>
      </c>
      <c r="AM20" s="6">
        <v>13.3</v>
      </c>
      <c r="AO20" s="6">
        <v>513</v>
      </c>
      <c r="AP20" s="6">
        <v>13.3</v>
      </c>
      <c r="AQ20" s="6">
        <v>160</v>
      </c>
      <c r="AS20" s="6">
        <v>513</v>
      </c>
      <c r="AT20" s="6">
        <v>6.1</v>
      </c>
      <c r="AU20" s="6">
        <v>160</v>
      </c>
      <c r="AW20" s="6">
        <v>513</v>
      </c>
      <c r="AX20" s="6">
        <v>6.1</v>
      </c>
      <c r="AY20" s="6">
        <v>13.3</v>
      </c>
    </row>
    <row r="21" spans="1:51" x14ac:dyDescent="0.25">
      <c r="A21" s="6">
        <v>536</v>
      </c>
      <c r="B21" s="6">
        <v>6.3</v>
      </c>
      <c r="C21" s="6">
        <v>18.3</v>
      </c>
      <c r="D21" s="6">
        <v>13.5</v>
      </c>
      <c r="E21" s="6">
        <v>162</v>
      </c>
      <c r="O21" s="6">
        <v>536</v>
      </c>
      <c r="P21" s="6">
        <v>6.3</v>
      </c>
      <c r="Q21" s="6">
        <v>18.3</v>
      </c>
      <c r="R21" s="6">
        <v>13.5</v>
      </c>
      <c r="S21" s="6">
        <v>162</v>
      </c>
      <c r="U21" s="6">
        <v>536</v>
      </c>
      <c r="V21" s="6">
        <v>18.3</v>
      </c>
      <c r="W21" s="6">
        <v>13.5</v>
      </c>
      <c r="X21" s="6">
        <v>162</v>
      </c>
      <c r="Z21" s="6">
        <v>536</v>
      </c>
      <c r="AA21" s="6">
        <v>6.3</v>
      </c>
      <c r="AB21" s="6">
        <v>13.5</v>
      </c>
      <c r="AC21" s="6">
        <v>162</v>
      </c>
      <c r="AE21" s="6">
        <v>536</v>
      </c>
      <c r="AF21" s="6">
        <v>6.3</v>
      </c>
      <c r="AG21" s="6">
        <v>18.3</v>
      </c>
      <c r="AH21" s="6">
        <v>162</v>
      </c>
      <c r="AI21" s="6"/>
      <c r="AJ21" s="6">
        <v>536</v>
      </c>
      <c r="AK21" s="6">
        <v>6.3</v>
      </c>
      <c r="AL21" s="6">
        <v>18.3</v>
      </c>
      <c r="AM21" s="6">
        <v>13.5</v>
      </c>
      <c r="AO21" s="6">
        <v>536</v>
      </c>
      <c r="AP21" s="6">
        <v>13.5</v>
      </c>
      <c r="AQ21" s="6">
        <v>162</v>
      </c>
      <c r="AS21" s="6">
        <v>536</v>
      </c>
      <c r="AT21" s="6">
        <v>6.3</v>
      </c>
      <c r="AU21" s="6">
        <v>162</v>
      </c>
      <c r="AW21" s="6">
        <v>536</v>
      </c>
      <c r="AX21" s="6">
        <v>6.3</v>
      </c>
      <c r="AY21" s="6">
        <v>13.5</v>
      </c>
    </row>
    <row r="23" spans="1:51" x14ac:dyDescent="0.25">
      <c r="A23" t="s">
        <v>49</v>
      </c>
      <c r="B23">
        <f>CORREL($A$2:$A$21,B2:B21)</f>
        <v>9.9978077694486425E-2</v>
      </c>
      <c r="O23" s="13" cm="1">
        <f t="array" ref="O23:S27">LINEST(O2:O21,P2:S21,1,1)</f>
        <v>2.2039689115574368</v>
      </c>
      <c r="P23">
        <v>-52.395828216214092</v>
      </c>
      <c r="Q23">
        <v>10.138620722317039</v>
      </c>
      <c r="R23">
        <v>6.8551182161523023</v>
      </c>
      <c r="S23">
        <v>630.17248162496014</v>
      </c>
      <c r="U23" s="13" cm="1">
        <f t="array" ref="U23:X27">LINEST(U2:U21,V2:X21,1,1)</f>
        <v>2.2510237221795726</v>
      </c>
      <c r="V23">
        <v>-51.625312506315296</v>
      </c>
      <c r="W23">
        <v>15.913331646429041</v>
      </c>
      <c r="X23">
        <v>551.45592650967001</v>
      </c>
      <c r="Z23" s="13" cm="1">
        <f t="array" ref="Z23:AC27">LINEST(Z2:Z21,AA2:AC21,1,1)</f>
        <v>2.1781681315023147</v>
      </c>
      <c r="AA23">
        <v>-50.849735365154018</v>
      </c>
      <c r="AB23">
        <v>10.000586888856867</v>
      </c>
      <c r="AC23">
        <v>770.06990639533979</v>
      </c>
      <c r="AE23" s="13" cm="1">
        <f t="array" ref="AE23:AH27">LINEST(AE2:AE21,AF2:AH21,1,1)</f>
        <v>2.7202114467206937</v>
      </c>
      <c r="AF23">
        <v>-0.970013005049009</v>
      </c>
      <c r="AG23">
        <v>3.8396018578251545</v>
      </c>
      <c r="AH23">
        <v>58.238249808926696</v>
      </c>
      <c r="AJ23" s="13" cm="1">
        <f t="array" ref="AJ23:AM27">LINEST(AJ2:AJ21,AK2:AM21,1,1)</f>
        <v>-73.199494030817348</v>
      </c>
      <c r="AK23">
        <v>2.6682183261874095</v>
      </c>
      <c r="AL23">
        <v>14.276252748083429</v>
      </c>
      <c r="AM23">
        <v>1257.53635419892</v>
      </c>
      <c r="AO23" s="13" cm="1">
        <f t="array" ref="AO23:AQ27">LINEST(AO2:AO21,AP2:AQ21,1,1)</f>
        <v>2.2420784403152383</v>
      </c>
      <c r="AP23">
        <v>-47.588715084596252</v>
      </c>
      <c r="AQ23">
        <v>771.97699348941978</v>
      </c>
      <c r="AS23" s="13" cm="1">
        <f t="array" ref="AS23:AU27">LINEST(AS2:AS21,AT2:AU21,1,1)</f>
        <v>2.7242685503687114</v>
      </c>
      <c r="AT23">
        <v>3.5198063272796722</v>
      </c>
      <c r="AU23">
        <v>42.737739034754838</v>
      </c>
      <c r="AW23" s="13" cm="1">
        <f t="array" ref="AW23:AY27">LINEST(AW2:AW21,AX2:AY21,1,1)</f>
        <v>-72.724412288788017</v>
      </c>
      <c r="AX23">
        <v>15.08819757304617</v>
      </c>
      <c r="AY23">
        <v>1292.7243862849873</v>
      </c>
    </row>
    <row r="24" spans="1:51" x14ac:dyDescent="0.25">
      <c r="A24" t="s">
        <v>50</v>
      </c>
      <c r="B24">
        <f>CORREL($A$2:$A$21,C2:C21)</f>
        <v>-6.0748388092610225E-2</v>
      </c>
      <c r="O24">
        <v>0.34247095044950265</v>
      </c>
      <c r="P24">
        <v>10.600159587611069</v>
      </c>
      <c r="Q24">
        <v>12.498733987633653</v>
      </c>
      <c r="R24">
        <v>7.5851053763725229</v>
      </c>
      <c r="S24">
        <v>233.40769609980171</v>
      </c>
      <c r="U24">
        <v>0.33654645367977626</v>
      </c>
      <c r="V24">
        <v>10.505149064764243</v>
      </c>
      <c r="W24">
        <v>10.680327964956605</v>
      </c>
      <c r="X24">
        <v>215.30433665440111</v>
      </c>
      <c r="Z24">
        <v>0.33732670510925183</v>
      </c>
      <c r="AA24">
        <v>10.31534937646707</v>
      </c>
      <c r="AB24">
        <v>6.4489535009936976</v>
      </c>
      <c r="AC24">
        <v>155.58539775932923</v>
      </c>
      <c r="AE24">
        <v>0.51202872775726604</v>
      </c>
      <c r="AF24">
        <v>19.301754924456201</v>
      </c>
      <c r="AG24">
        <v>11.869153077759345</v>
      </c>
      <c r="AH24">
        <v>318.22937290582331</v>
      </c>
      <c r="AJ24">
        <v>18.956363939938555</v>
      </c>
      <c r="AK24">
        <v>23.368147723650146</v>
      </c>
      <c r="AL24">
        <v>14.077425585281102</v>
      </c>
      <c r="AM24">
        <v>398.22545039817533</v>
      </c>
      <c r="AO24">
        <v>0.34835787641859706</v>
      </c>
      <c r="AP24">
        <v>10.507690383767955</v>
      </c>
      <c r="AQ24">
        <v>161.88102077434547</v>
      </c>
      <c r="AS24">
        <v>0.49056647059846398</v>
      </c>
      <c r="AT24">
        <v>9.7207761456993165</v>
      </c>
      <c r="AU24">
        <v>76.006528616008168</v>
      </c>
      <c r="AW24">
        <v>17.949225748099188</v>
      </c>
      <c r="AX24">
        <v>11.791448735410306</v>
      </c>
      <c r="AY24">
        <v>244.78233852557003</v>
      </c>
    </row>
    <row r="25" spans="1:51" x14ac:dyDescent="0.25">
      <c r="A25" t="s">
        <v>51</v>
      </c>
      <c r="B25">
        <f>CORREL($A$2:$A$21,D2:D21)</f>
        <v>-0.6692075750532267</v>
      </c>
      <c r="O25">
        <v>0.86619589276876785</v>
      </c>
      <c r="P25">
        <v>43.244876562536149</v>
      </c>
      <c r="Q25" t="e">
        <v>#N/A</v>
      </c>
      <c r="R25" t="e">
        <v>#N/A</v>
      </c>
      <c r="S25" t="e">
        <v>#N/A</v>
      </c>
      <c r="U25">
        <v>0.8589099652664508</v>
      </c>
      <c r="V25">
        <v>42.996563685242677</v>
      </c>
      <c r="W25" t="e">
        <v>#N/A</v>
      </c>
      <c r="X25" t="e">
        <v>#N/A</v>
      </c>
      <c r="Z25">
        <v>0.86032635516779576</v>
      </c>
      <c r="AA25">
        <v>42.780200024741966</v>
      </c>
      <c r="AB25" t="e">
        <v>#N/A</v>
      </c>
      <c r="AC25" t="e">
        <v>#N/A</v>
      </c>
      <c r="AE25">
        <v>0.64825094930727234</v>
      </c>
      <c r="AF25">
        <v>67.88941160512401</v>
      </c>
      <c r="AG25" t="e">
        <v>#N/A</v>
      </c>
      <c r="AH25" t="e">
        <v>#N/A</v>
      </c>
      <c r="AJ25">
        <v>0.49675783198006945</v>
      </c>
      <c r="AK25">
        <v>81.203376888478303</v>
      </c>
      <c r="AL25" t="e">
        <v>#N/A</v>
      </c>
      <c r="AM25" t="e">
        <v>#N/A</v>
      </c>
      <c r="AO25">
        <v>0.83933371954462666</v>
      </c>
      <c r="AP25">
        <v>44.512652859584712</v>
      </c>
      <c r="AQ25" t="e">
        <v>#N/A</v>
      </c>
      <c r="AS25">
        <v>0.64819542610944481</v>
      </c>
      <c r="AT25">
        <v>65.867601456577006</v>
      </c>
      <c r="AU25" t="e">
        <v>#N/A</v>
      </c>
      <c r="AW25">
        <v>0.49634776840977202</v>
      </c>
      <c r="AX25">
        <v>78.810936751814452</v>
      </c>
      <c r="AY25" t="e">
        <v>#N/A</v>
      </c>
    </row>
    <row r="26" spans="1:51" x14ac:dyDescent="0.25">
      <c r="A26" t="s">
        <v>52</v>
      </c>
      <c r="B26" s="10">
        <f>CORREL($A$2:$A$21,E2:E21)</f>
        <v>0.80341906008533981</v>
      </c>
      <c r="O26">
        <v>24.276045519809607</v>
      </c>
      <c r="P26">
        <v>15</v>
      </c>
      <c r="Q26" t="e">
        <v>#N/A</v>
      </c>
      <c r="R26" t="e">
        <v>#N/A</v>
      </c>
      <c r="S26" t="e">
        <v>#N/A</v>
      </c>
      <c r="U26">
        <v>32.467588208754457</v>
      </c>
      <c r="V26">
        <v>16</v>
      </c>
      <c r="W26" t="e">
        <v>#N/A</v>
      </c>
      <c r="X26" t="e">
        <v>#N/A</v>
      </c>
      <c r="Z26">
        <v>32.850916384933065</v>
      </c>
      <c r="AA26">
        <v>16</v>
      </c>
      <c r="AB26" t="e">
        <v>#N/A</v>
      </c>
      <c r="AC26" t="e">
        <v>#N/A</v>
      </c>
      <c r="AE26">
        <v>9.8289914059373782</v>
      </c>
      <c r="AF26">
        <v>16</v>
      </c>
      <c r="AG26" t="e">
        <v>#N/A</v>
      </c>
      <c r="AH26" t="e">
        <v>#N/A</v>
      </c>
      <c r="AJ26">
        <v>5.2646126899858219</v>
      </c>
      <c r="AK26">
        <v>16</v>
      </c>
      <c r="AL26" t="e">
        <v>#N/A</v>
      </c>
      <c r="AM26" t="e">
        <v>#N/A</v>
      </c>
      <c r="AO26">
        <v>44.404691487900337</v>
      </c>
      <c r="AP26">
        <v>17</v>
      </c>
      <c r="AQ26" t="e">
        <v>#N/A</v>
      </c>
      <c r="AS26">
        <v>15.661141243843838</v>
      </c>
      <c r="AT26">
        <v>17</v>
      </c>
      <c r="AU26" t="e">
        <v>#N/A</v>
      </c>
      <c r="AW26">
        <v>8.3767245866501181</v>
      </c>
      <c r="AX26">
        <v>17</v>
      </c>
      <c r="AY26" t="e">
        <v>#N/A</v>
      </c>
    </row>
    <row r="27" spans="1:51" ht="30" x14ac:dyDescent="0.25">
      <c r="E27" s="26" t="s">
        <v>127</v>
      </c>
      <c r="O27">
        <v>181596.40976636525</v>
      </c>
      <c r="P27">
        <v>28051.790233634827</v>
      </c>
      <c r="Q27" t="e">
        <v>#N/A</v>
      </c>
      <c r="R27" t="e">
        <v>#N/A</v>
      </c>
      <c r="S27" t="e">
        <v>#N/A</v>
      </c>
      <c r="U27">
        <v>180068.928180174</v>
      </c>
      <c r="V27">
        <v>29579.27181982607</v>
      </c>
      <c r="W27" t="e">
        <v>#N/A</v>
      </c>
      <c r="X27" t="e">
        <v>#N/A</v>
      </c>
      <c r="Z27">
        <v>180365.87177348914</v>
      </c>
      <c r="AA27">
        <v>29282.328226510919</v>
      </c>
      <c r="AB27" t="e">
        <v>#N/A</v>
      </c>
      <c r="AC27" t="e">
        <v>#N/A</v>
      </c>
      <c r="AE27">
        <v>135904.64467056093</v>
      </c>
      <c r="AF27">
        <v>73743.555329439143</v>
      </c>
      <c r="AG27" t="e">
        <v>#N/A</v>
      </c>
      <c r="AH27" t="e">
        <v>#N/A</v>
      </c>
      <c r="AJ27">
        <v>104144.38531052403</v>
      </c>
      <c r="AK27">
        <v>105503.81468947604</v>
      </c>
      <c r="AL27" t="e">
        <v>#N/A</v>
      </c>
      <c r="AM27" t="e">
        <v>#N/A</v>
      </c>
      <c r="AO27">
        <v>175964.80350183585</v>
      </c>
      <c r="AP27">
        <v>33683.39649816422</v>
      </c>
      <c r="AQ27" t="e">
        <v>#N/A</v>
      </c>
      <c r="AS27">
        <v>135893.00433207816</v>
      </c>
      <c r="AT27">
        <v>73755.195667921915</v>
      </c>
      <c r="AU27" t="e">
        <v>#N/A</v>
      </c>
      <c r="AW27">
        <v>104058.4162211256</v>
      </c>
      <c r="AX27">
        <v>105589.78377887447</v>
      </c>
      <c r="AY27" t="e">
        <v>#N/A</v>
      </c>
    </row>
    <row r="28" spans="1:51" x14ac:dyDescent="0.25">
      <c r="A28" cm="1">
        <f t="array" ref="A28:B32">LINEST(A2:A21,E2:E21,1,1)</f>
        <v>2.7348770626583865</v>
      </c>
      <c r="B28">
        <v>60.566807885013532</v>
      </c>
      <c r="D28" t="s">
        <v>53</v>
      </c>
      <c r="E28" s="23">
        <f>B26</f>
        <v>0.80341906008533981</v>
      </c>
      <c r="N28" t="s">
        <v>82</v>
      </c>
      <c r="O28" s="14">
        <f>COUNT(O2:O21)-1</f>
        <v>19</v>
      </c>
      <c r="U28" s="14">
        <f>COUNT(U2:U21)-1</f>
        <v>19</v>
      </c>
      <c r="Z28" s="14">
        <f>COUNT(Z2:Z21)-1</f>
        <v>19</v>
      </c>
      <c r="AE28" s="14">
        <f>COUNT(AE2:AE21)-1</f>
        <v>19</v>
      </c>
      <c r="AJ28" s="14">
        <f>COUNT(AJ2:AJ21)-1</f>
        <v>19</v>
      </c>
      <c r="AO28" s="14">
        <f>COUNT(AO2:AO21)-1</f>
        <v>19</v>
      </c>
      <c r="AS28" s="14">
        <f>COUNT(AS2:AS21)-1</f>
        <v>19</v>
      </c>
      <c r="AW28" s="14">
        <f>COUNT(AW2:AW21)-1</f>
        <v>19</v>
      </c>
    </row>
    <row r="29" spans="1:51" x14ac:dyDescent="0.25">
      <c r="A29">
        <v>0.47772553667755902</v>
      </c>
      <c r="B29">
        <v>56.48596928153755</v>
      </c>
      <c r="D29" t="s">
        <v>54</v>
      </c>
      <c r="E29">
        <f>E28^2</f>
        <v>0.6454821861084109</v>
      </c>
      <c r="N29" t="s">
        <v>83</v>
      </c>
      <c r="O29">
        <f>P26</f>
        <v>15</v>
      </c>
      <c r="U29">
        <f>V26</f>
        <v>16</v>
      </c>
      <c r="Z29">
        <f>AA26</f>
        <v>16</v>
      </c>
      <c r="AE29">
        <f>AF26</f>
        <v>16</v>
      </c>
      <c r="AJ29">
        <f>AK26</f>
        <v>16</v>
      </c>
      <c r="AO29">
        <f>AP26</f>
        <v>17</v>
      </c>
      <c r="AS29">
        <f>AT26</f>
        <v>17</v>
      </c>
      <c r="AW29">
        <f>AX26</f>
        <v>17</v>
      </c>
    </row>
    <row r="30" spans="1:51" x14ac:dyDescent="0.25">
      <c r="A30">
        <v>0.64548218610841135</v>
      </c>
      <c r="B30">
        <v>64.258169195444452</v>
      </c>
      <c r="D30" t="s">
        <v>120</v>
      </c>
      <c r="N30" t="s">
        <v>84</v>
      </c>
      <c r="O30">
        <f>O25</f>
        <v>0.86619589276876785</v>
      </c>
      <c r="U30">
        <f>U25</f>
        <v>0.8589099652664508</v>
      </c>
      <c r="Z30">
        <f>Z25</f>
        <v>0.86032635516779576</v>
      </c>
      <c r="AE30">
        <f>AE25</f>
        <v>0.64825094930727234</v>
      </c>
      <c r="AJ30">
        <f>AJ25</f>
        <v>0.49675783198006945</v>
      </c>
      <c r="AO30">
        <f>AO25</f>
        <v>0.83933371954462666</v>
      </c>
      <c r="AS30">
        <f>AS25</f>
        <v>0.64819542610944481</v>
      </c>
      <c r="AW30">
        <f>AW25</f>
        <v>0.49634776840977202</v>
      </c>
    </row>
    <row r="31" spans="1:51" x14ac:dyDescent="0.25">
      <c r="A31">
        <v>32.773189088614849</v>
      </c>
      <c r="B31">
        <v>18</v>
      </c>
      <c r="D31" t="s">
        <v>121</v>
      </c>
      <c r="N31" t="s">
        <v>85</v>
      </c>
      <c r="O31">
        <f>1-(1-O30)*($O$28/O29)</f>
        <v>0.83051479750710588</v>
      </c>
      <c r="U31">
        <f>1-(1-U30)*($O$28/U29)</f>
        <v>0.83245558375391027</v>
      </c>
      <c r="Z31">
        <f>1-(1-Z30)*($O$28/Z29)</f>
        <v>0.83413754676175744</v>
      </c>
      <c r="AE31">
        <f>1-(1-AE30)*($O$28/AE29)</f>
        <v>0.58229800230238593</v>
      </c>
      <c r="AJ31">
        <f>1-(1-AJ30)*($O$28/AJ29)</f>
        <v>0.40239992547633241</v>
      </c>
      <c r="AO31">
        <f>1-(1-AO30)*($O$28/AO29)</f>
        <v>0.82043180419693562</v>
      </c>
      <c r="AS31">
        <f>1-(1-AS30)*($O$28/AS29)</f>
        <v>0.606806652710556</v>
      </c>
      <c r="AW31">
        <f>1-(1-AW30)*($O$28/AW29)</f>
        <v>0.43709456469327457</v>
      </c>
    </row>
    <row r="32" spans="1:51" x14ac:dyDescent="0.25">
      <c r="A32">
        <v>135324.17844969349</v>
      </c>
      <c r="B32">
        <v>74324.021550306599</v>
      </c>
      <c r="Z32" t="s">
        <v>86</v>
      </c>
    </row>
    <row r="33" spans="1:22" x14ac:dyDescent="0.25">
      <c r="N33" t="s">
        <v>58</v>
      </c>
    </row>
    <row r="34" spans="1:22" ht="15.75" thickBot="1" x14ac:dyDescent="0.3">
      <c r="A34" s="10" t="s">
        <v>55</v>
      </c>
      <c r="B34" s="10">
        <f>B28</f>
        <v>60.566807885013532</v>
      </c>
      <c r="C34" s="11" t="s">
        <v>56</v>
      </c>
      <c r="D34" s="10">
        <f>A28</f>
        <v>2.7348770626583865</v>
      </c>
      <c r="E34" s="10" t="s">
        <v>57</v>
      </c>
    </row>
    <row r="35" spans="1:22" x14ac:dyDescent="0.25">
      <c r="N35" s="12" t="s">
        <v>59</v>
      </c>
      <c r="O35" s="12"/>
    </row>
    <row r="36" spans="1:22" x14ac:dyDescent="0.25">
      <c r="N36" s="7" t="s">
        <v>60</v>
      </c>
      <c r="O36" s="7">
        <v>0.92753779177335727</v>
      </c>
    </row>
    <row r="37" spans="1:22" x14ac:dyDescent="0.25">
      <c r="N37" s="7" t="s">
        <v>61</v>
      </c>
      <c r="O37" s="7">
        <v>0.86032635516779576</v>
      </c>
    </row>
    <row r="38" spans="1:22" x14ac:dyDescent="0.25">
      <c r="N38" s="7" t="s">
        <v>62</v>
      </c>
      <c r="O38" s="7">
        <v>0.83413754676175755</v>
      </c>
    </row>
    <row r="39" spans="1:22" x14ac:dyDescent="0.25">
      <c r="N39" s="7" t="s">
        <v>63</v>
      </c>
      <c r="O39" s="7">
        <v>42.780200024741966</v>
      </c>
    </row>
    <row r="40" spans="1:22" ht="15.75" thickBot="1" x14ac:dyDescent="0.3">
      <c r="N40" s="8" t="s">
        <v>64</v>
      </c>
      <c r="O40" s="8">
        <v>20</v>
      </c>
    </row>
    <row r="42" spans="1:22" ht="15.75" thickBot="1" x14ac:dyDescent="0.3">
      <c r="N42" t="s">
        <v>65</v>
      </c>
    </row>
    <row r="43" spans="1:22" x14ac:dyDescent="0.25">
      <c r="N43" s="9"/>
      <c r="O43" s="9" t="s">
        <v>70</v>
      </c>
      <c r="P43" s="9" t="s">
        <v>71</v>
      </c>
      <c r="Q43" s="9" t="s">
        <v>72</v>
      </c>
      <c r="R43" s="9" t="s">
        <v>73</v>
      </c>
      <c r="S43" s="9" t="s">
        <v>74</v>
      </c>
    </row>
    <row r="44" spans="1:22" x14ac:dyDescent="0.25">
      <c r="N44" s="7" t="s">
        <v>66</v>
      </c>
      <c r="O44" s="7">
        <v>3</v>
      </c>
      <c r="P44" s="7">
        <v>180365.87177348914</v>
      </c>
      <c r="Q44" s="7">
        <v>60121.957257829716</v>
      </c>
      <c r="R44" s="7">
        <v>32.850916384933065</v>
      </c>
      <c r="S44" s="7">
        <v>4.52546874166998E-7</v>
      </c>
    </row>
    <row r="45" spans="1:22" x14ac:dyDescent="0.25">
      <c r="N45" s="7" t="s">
        <v>67</v>
      </c>
      <c r="O45" s="7">
        <v>16</v>
      </c>
      <c r="P45" s="7">
        <v>29282.328226510919</v>
      </c>
      <c r="Q45" s="7">
        <v>1830.1455141569324</v>
      </c>
      <c r="R45" s="7"/>
      <c r="S45" s="7"/>
    </row>
    <row r="46" spans="1:22" ht="15.75" thickBot="1" x14ac:dyDescent="0.3">
      <c r="N46" s="8" t="s">
        <v>68</v>
      </c>
      <c r="O46" s="8">
        <v>19</v>
      </c>
      <c r="P46" s="8">
        <v>209648.20000000007</v>
      </c>
      <c r="Q46" s="8"/>
      <c r="R46" s="8"/>
      <c r="S46" s="8"/>
    </row>
    <row r="47" spans="1:22" ht="15.75" thickBot="1" x14ac:dyDescent="0.3"/>
    <row r="48" spans="1:22" x14ac:dyDescent="0.25">
      <c r="N48" s="9"/>
      <c r="O48" s="9" t="s">
        <v>75</v>
      </c>
      <c r="P48" s="9" t="s">
        <v>63</v>
      </c>
      <c r="Q48" s="9" t="s">
        <v>76</v>
      </c>
      <c r="R48" s="9" t="s">
        <v>77</v>
      </c>
      <c r="S48" s="9" t="s">
        <v>78</v>
      </c>
      <c r="T48" s="9" t="s">
        <v>79</v>
      </c>
      <c r="U48" s="9" t="s">
        <v>80</v>
      </c>
      <c r="V48" s="9" t="s">
        <v>81</v>
      </c>
    </row>
    <row r="49" spans="1:22" x14ac:dyDescent="0.25">
      <c r="N49" s="7" t="s">
        <v>69</v>
      </c>
      <c r="O49" s="7">
        <v>770.06990639533979</v>
      </c>
      <c r="P49" s="7">
        <v>155.58539775932923</v>
      </c>
      <c r="Q49" s="7">
        <v>4.9494998726457595</v>
      </c>
      <c r="R49" s="7">
        <v>1.4492033743303861E-4</v>
      </c>
      <c r="S49" s="7">
        <v>440.243597203891</v>
      </c>
      <c r="T49" s="7">
        <v>1099.8962155867885</v>
      </c>
      <c r="U49" s="7">
        <v>399.5362221794154</v>
      </c>
      <c r="V49" s="7">
        <v>1140.6035906112643</v>
      </c>
    </row>
    <row r="50" spans="1:22" x14ac:dyDescent="0.25">
      <c r="A50" t="s">
        <v>58</v>
      </c>
      <c r="N50" s="7" t="s">
        <v>45</v>
      </c>
      <c r="O50" s="7">
        <v>10.000586888856867</v>
      </c>
      <c r="P50" s="7">
        <v>6.4489535009936976</v>
      </c>
      <c r="Q50" s="7">
        <v>1.550730190148822</v>
      </c>
      <c r="R50" s="7">
        <v>0.14051919797330173</v>
      </c>
      <c r="S50" s="7">
        <v>-3.6705838123311381</v>
      </c>
      <c r="T50" s="7">
        <v>23.671757590044873</v>
      </c>
      <c r="U50" s="7">
        <v>-5.3578884852699193</v>
      </c>
      <c r="V50" s="7">
        <v>25.359062262983656</v>
      </c>
    </row>
    <row r="51" spans="1:22" ht="15.75" thickBot="1" x14ac:dyDescent="0.3">
      <c r="N51" s="7" t="s">
        <v>47</v>
      </c>
      <c r="O51" s="7">
        <v>-50.849735365154018</v>
      </c>
      <c r="P51" s="7">
        <v>10.31534937646707</v>
      </c>
      <c r="Q51" s="7">
        <v>-4.9295213869498298</v>
      </c>
      <c r="R51" s="7">
        <v>1.5089955126187536E-4</v>
      </c>
      <c r="S51" s="7">
        <v>-72.717299171645237</v>
      </c>
      <c r="T51" s="7">
        <v>-28.982171558662806</v>
      </c>
      <c r="U51" s="7">
        <v>-75.416207948585111</v>
      </c>
      <c r="V51" s="7">
        <v>-26.283262781722932</v>
      </c>
    </row>
    <row r="52" spans="1:22" ht="15.75" thickBot="1" x14ac:dyDescent="0.3">
      <c r="A52" s="12" t="s">
        <v>59</v>
      </c>
      <c r="B52" s="12"/>
      <c r="N52" s="8" t="s">
        <v>48</v>
      </c>
      <c r="O52" s="8">
        <v>2.1781681315023147</v>
      </c>
      <c r="P52" s="8">
        <v>0.33732670510925183</v>
      </c>
      <c r="Q52" s="8">
        <v>6.4571470284182197</v>
      </c>
      <c r="R52" s="8">
        <v>7.9184167213314646E-6</v>
      </c>
      <c r="S52" s="8">
        <v>1.4630674617723662</v>
      </c>
      <c r="T52" s="8">
        <v>2.8932688012322632</v>
      </c>
      <c r="U52" s="8">
        <v>1.374809277595634</v>
      </c>
      <c r="V52" s="8">
        <v>2.9815269854089954</v>
      </c>
    </row>
    <row r="53" spans="1:22" x14ac:dyDescent="0.25">
      <c r="A53" s="7" t="s">
        <v>60</v>
      </c>
      <c r="B53" s="7">
        <v>0.80341906008534014</v>
      </c>
    </row>
    <row r="54" spans="1:22" x14ac:dyDescent="0.25">
      <c r="A54" s="7" t="s">
        <v>61</v>
      </c>
      <c r="B54" s="7">
        <v>0.64548218610841135</v>
      </c>
      <c r="N54" s="15" t="s">
        <v>87</v>
      </c>
      <c r="O54">
        <f>S44</f>
        <v>4.52546874166998E-7</v>
      </c>
      <c r="P54" s="16" t="s">
        <v>92</v>
      </c>
    </row>
    <row r="55" spans="1:22" x14ac:dyDescent="0.25">
      <c r="A55" s="7" t="s">
        <v>62</v>
      </c>
      <c r="B55" s="7">
        <v>0.62578675200332301</v>
      </c>
    </row>
    <row r="56" spans="1:22" x14ac:dyDescent="0.25">
      <c r="A56" s="7" t="s">
        <v>63</v>
      </c>
      <c r="B56" s="7">
        <v>64.258169195444452</v>
      </c>
      <c r="N56" t="s">
        <v>93</v>
      </c>
    </row>
    <row r="57" spans="1:22" ht="15.75" thickBot="1" x14ac:dyDescent="0.3">
      <c r="A57" s="8" t="s">
        <v>64</v>
      </c>
      <c r="B57" s="8">
        <v>20</v>
      </c>
    </row>
    <row r="58" spans="1:22" x14ac:dyDescent="0.25">
      <c r="N58" t="s">
        <v>88</v>
      </c>
    </row>
    <row r="59" spans="1:22" ht="15.75" thickBot="1" x14ac:dyDescent="0.3">
      <c r="A59" t="s">
        <v>65</v>
      </c>
      <c r="N59" s="15" t="s">
        <v>89</v>
      </c>
      <c r="O59">
        <f>R49</f>
        <v>1.4492033743303861E-4</v>
      </c>
      <c r="P59" t="s">
        <v>97</v>
      </c>
    </row>
    <row r="60" spans="1:22" x14ac:dyDescent="0.25">
      <c r="A60" s="9"/>
      <c r="B60" s="9" t="s">
        <v>70</v>
      </c>
      <c r="C60" s="9" t="s">
        <v>71</v>
      </c>
      <c r="D60" s="9" t="s">
        <v>72</v>
      </c>
      <c r="E60" s="9" t="s">
        <v>73</v>
      </c>
      <c r="F60" s="9" t="s">
        <v>74</v>
      </c>
      <c r="N60" s="15" t="s">
        <v>90</v>
      </c>
      <c r="O60">
        <f>R50</f>
        <v>0.14051919797330173</v>
      </c>
      <c r="P60" t="s">
        <v>96</v>
      </c>
    </row>
    <row r="61" spans="1:22" x14ac:dyDescent="0.25">
      <c r="A61" s="7" t="s">
        <v>66</v>
      </c>
      <c r="B61" s="7">
        <v>1</v>
      </c>
      <c r="C61" s="7">
        <v>135324.17844969349</v>
      </c>
      <c r="D61" s="7">
        <v>135324.17844969349</v>
      </c>
      <c r="E61" s="7">
        <v>32.773189088614849</v>
      </c>
      <c r="F61" s="7">
        <v>1.9897939199485466E-5</v>
      </c>
      <c r="N61" s="15" t="s">
        <v>94</v>
      </c>
      <c r="O61">
        <f>R51</f>
        <v>1.5089955126187536E-4</v>
      </c>
      <c r="P61" t="s">
        <v>95</v>
      </c>
    </row>
    <row r="62" spans="1:22" x14ac:dyDescent="0.25">
      <c r="A62" s="7" t="s">
        <v>67</v>
      </c>
      <c r="B62" s="7">
        <v>18</v>
      </c>
      <c r="C62" s="7">
        <v>74324.021550306599</v>
      </c>
      <c r="D62" s="7">
        <v>4129.1123083503662</v>
      </c>
      <c r="E62" s="7"/>
      <c r="F62" s="7"/>
      <c r="N62" s="15" t="s">
        <v>91</v>
      </c>
      <c r="O62">
        <f>R52</f>
        <v>7.9184167213314646E-6</v>
      </c>
      <c r="P62" t="s">
        <v>98</v>
      </c>
    </row>
    <row r="63" spans="1:22" ht="15.75" thickBot="1" x14ac:dyDescent="0.3">
      <c r="A63" s="8" t="s">
        <v>68</v>
      </c>
      <c r="B63" s="8">
        <v>19</v>
      </c>
      <c r="C63" s="8">
        <v>209648.20000000007</v>
      </c>
      <c r="D63" s="8"/>
      <c r="E63" s="8"/>
      <c r="F63" s="8"/>
    </row>
    <row r="64" spans="1:22" ht="15.75" thickBot="1" x14ac:dyDescent="0.3">
      <c r="N64" s="17" t="s">
        <v>99</v>
      </c>
    </row>
    <row r="65" spans="1:24" x14ac:dyDescent="0.25">
      <c r="A65" s="9"/>
      <c r="B65" s="9" t="s">
        <v>75</v>
      </c>
      <c r="C65" s="9" t="s">
        <v>63</v>
      </c>
      <c r="D65" s="9" t="s">
        <v>76</v>
      </c>
      <c r="E65" s="9" t="s">
        <v>77</v>
      </c>
      <c r="F65" s="9" t="s">
        <v>78</v>
      </c>
      <c r="G65" s="9" t="s">
        <v>79</v>
      </c>
      <c r="H65" s="9" t="s">
        <v>80</v>
      </c>
      <c r="I65" s="9" t="s">
        <v>81</v>
      </c>
      <c r="N65" s="18" t="s">
        <v>100</v>
      </c>
      <c r="O65">
        <f>_xlfn.STDEV.S(Z2:Z21)</f>
        <v>105.04339955215508</v>
      </c>
    </row>
    <row r="66" spans="1:24" x14ac:dyDescent="0.25">
      <c r="A66" s="24" t="s">
        <v>69</v>
      </c>
      <c r="B66" s="7">
        <v>60.566807885013532</v>
      </c>
      <c r="C66" s="7">
        <v>56.48596928153755</v>
      </c>
      <c r="D66" s="7">
        <v>1.0722451726575897</v>
      </c>
      <c r="E66" s="7">
        <v>0.29777606055887723</v>
      </c>
      <c r="F66" s="7">
        <v>-58.105809942946919</v>
      </c>
      <c r="G66" s="7">
        <v>179.23942571297397</v>
      </c>
      <c r="H66" s="7">
        <v>-72.524303629151888</v>
      </c>
      <c r="I66" s="7">
        <v>193.65791939917895</v>
      </c>
      <c r="N66" s="18" t="s">
        <v>101</v>
      </c>
      <c r="O66">
        <f>_xlfn.STDEV.S(AA2:AA21)</f>
        <v>1.557291846359202</v>
      </c>
      <c r="Q66" s="19" t="s">
        <v>102</v>
      </c>
      <c r="R66">
        <f>(O50*O66)/$O$65</f>
        <v>0.14826093297838269</v>
      </c>
    </row>
    <row r="67" spans="1:24" ht="15.75" thickBot="1" x14ac:dyDescent="0.3">
      <c r="A67" s="25" t="s">
        <v>48</v>
      </c>
      <c r="B67" s="8">
        <v>2.7348770626583865</v>
      </c>
      <c r="C67" s="8">
        <v>0.47772553667755902</v>
      </c>
      <c r="D67" s="8">
        <v>5.7247872526946209</v>
      </c>
      <c r="E67" s="8">
        <v>1.9897939199485537E-5</v>
      </c>
      <c r="F67" s="8">
        <v>1.7312129534665244</v>
      </c>
      <c r="G67" s="8">
        <v>3.7385411718502484</v>
      </c>
      <c r="H67" s="8">
        <v>1.609269704161681</v>
      </c>
      <c r="I67" s="8">
        <v>3.8604844211550917</v>
      </c>
      <c r="N67" s="18" t="s">
        <v>105</v>
      </c>
      <c r="O67">
        <f>_xlfn.STDEV.S(AB2:AB21)</f>
        <v>1.0230372735916784</v>
      </c>
      <c r="Q67" s="19" t="s">
        <v>106</v>
      </c>
      <c r="R67">
        <f t="shared" ref="R67" si="0">(O51*O67)/$O$65</f>
        <v>-0.49523506334157141</v>
      </c>
    </row>
    <row r="68" spans="1:24" ht="45" x14ac:dyDescent="0.25">
      <c r="A68" s="26" t="s">
        <v>122</v>
      </c>
      <c r="C68" s="23" t="s">
        <v>123</v>
      </c>
      <c r="N68" s="18" t="s">
        <v>103</v>
      </c>
      <c r="O68">
        <f>_xlfn.STDEV.S(AC2:AC21)</f>
        <v>30.858377690413505</v>
      </c>
      <c r="Q68" s="19" t="s">
        <v>104</v>
      </c>
      <c r="R68">
        <f>(O52*O68)/$O$65</f>
        <v>0.63987585285401893</v>
      </c>
    </row>
    <row r="69" spans="1:24" x14ac:dyDescent="0.25">
      <c r="D69" t="s">
        <v>124</v>
      </c>
      <c r="F69" t="s">
        <v>41</v>
      </c>
    </row>
    <row r="70" spans="1:24" x14ac:dyDescent="0.25">
      <c r="A70" t="s">
        <v>112</v>
      </c>
      <c r="B70" t="s">
        <v>113</v>
      </c>
      <c r="C70">
        <f>D66</f>
        <v>1.0722451726575897</v>
      </c>
      <c r="D70">
        <f>_xlfn.T.INV.2T(0.05, 20-1-1)</f>
        <v>2.1009220402410378</v>
      </c>
      <c r="F70">
        <f>_xlfn.T.DIST.2T(C70,18)</f>
        <v>0.29777606055887723</v>
      </c>
      <c r="G70" t="s">
        <v>128</v>
      </c>
      <c r="N70" s="20" t="s">
        <v>107</v>
      </c>
    </row>
    <row r="71" spans="1:24" x14ac:dyDescent="0.25">
      <c r="A71" t="s">
        <v>114</v>
      </c>
      <c r="B71" t="s">
        <v>115</v>
      </c>
      <c r="C71">
        <f>D67</f>
        <v>5.7247872526946209</v>
      </c>
      <c r="D71">
        <f t="shared" ref="D71:D72" si="1">_xlfn.T.INV.2T(0.05, 20-1-1)</f>
        <v>2.1009220402410378</v>
      </c>
      <c r="F71">
        <f>_xlfn.T.DIST.2T(C71,18)</f>
        <v>1.9897939199485537E-5</v>
      </c>
      <c r="G71" t="s">
        <v>129</v>
      </c>
      <c r="N71" s="21" t="s">
        <v>108</v>
      </c>
    </row>
    <row r="72" spans="1:24" x14ac:dyDescent="0.25">
      <c r="A72" t="s">
        <v>116</v>
      </c>
      <c r="B72" t="s">
        <v>117</v>
      </c>
      <c r="C72">
        <f>E28/SQRT((1-E28)/18)</f>
        <v>7.6878991839246167</v>
      </c>
      <c r="D72">
        <f t="shared" si="1"/>
        <v>2.1009220402410378</v>
      </c>
      <c r="F72">
        <f>_xlfn.T.DIST.2T(C72,18)</f>
        <v>4.2990689906797036E-7</v>
      </c>
      <c r="G72" t="s">
        <v>129</v>
      </c>
    </row>
    <row r="74" spans="1:24" x14ac:dyDescent="0.25">
      <c r="A74" t="s">
        <v>118</v>
      </c>
      <c r="B74" t="s">
        <v>119</v>
      </c>
      <c r="C74">
        <f>F61</f>
        <v>1.9897939199485466E-5</v>
      </c>
      <c r="D74">
        <f>_xlfn.F.INV.RT(0.05,1,18)</f>
        <v>4.4138734191705664</v>
      </c>
      <c r="F74">
        <f>F61</f>
        <v>1.9897939199485466E-5</v>
      </c>
      <c r="G74" t="s">
        <v>129</v>
      </c>
      <c r="X74" t="s">
        <v>109</v>
      </c>
    </row>
    <row r="75" spans="1:24" x14ac:dyDescent="0.25">
      <c r="X75" t="s">
        <v>110</v>
      </c>
    </row>
    <row r="76" spans="1:24" x14ac:dyDescent="0.25">
      <c r="X76" t="s">
        <v>111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Shelyganov</dc:creator>
  <cp:lastModifiedBy>Антон Королёв</cp:lastModifiedBy>
  <dcterms:created xsi:type="dcterms:W3CDTF">2015-06-05T18:17:20Z</dcterms:created>
  <dcterms:modified xsi:type="dcterms:W3CDTF">2025-05-23T07:49:47Z</dcterms:modified>
</cp:coreProperties>
</file>